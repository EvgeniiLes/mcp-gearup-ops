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OrderLines" sheetId="3" state="visible" r:id="rId3"/>
    <sheet xmlns:r="http://schemas.openxmlformats.org/officeDocument/2006/relationships" name="Leads" sheetId="4" state="visible" r:id="rId4"/>
    <sheet xmlns:r="http://schemas.openxmlformats.org/officeDocument/2006/relationships" name="FAQ" sheetId="5" state="visible" r:id="rId5"/>
    <sheet xmlns:r="http://schemas.openxmlformats.org/officeDocument/2006/relationships" name="Returns" sheetId="6" state="visible" r:id="rId6"/>
    <sheet xmlns:r="http://schemas.openxmlformats.org/officeDocument/2006/relationships" name="Promo" sheetId="7" state="visible" r:id="rId7"/>
    <sheet xmlns:r="http://schemas.openxmlformats.org/officeDocument/2006/relationships" name="SupportLog" sheetId="8" state="visible" r:id="rId8"/>
    <sheet xmlns:r="http://schemas.openxmlformats.org/officeDocument/2006/relationships" name="Error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0" customWidth="1" min="4" max="4"/>
    <col width="10" customWidth="1" min="5" max="5"/>
    <col width="15" customWidth="1" min="6" max="6"/>
    <col width="50" customWidth="1" min="7" max="7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reorder_level</t>
        </is>
      </c>
      <c r="G1" s="1" t="inlineStr">
        <is>
          <t>updated_at</t>
        </is>
      </c>
    </row>
    <row r="2">
      <c r="A2" t="inlineStr">
        <is>
          <t>GU-DB-10</t>
        </is>
      </c>
      <c r="B2" t="inlineStr">
        <is>
          <t>Adjustable Dumbbell 10 kg</t>
        </is>
      </c>
      <c r="C2" t="inlineStr">
        <is>
          <t>Strength</t>
        </is>
      </c>
      <c r="D2" t="n">
        <v>89</v>
      </c>
      <c r="E2" t="n">
        <v>34</v>
      </c>
      <c r="F2" t="n">
        <v>10</v>
      </c>
      <c r="G2">
        <f>TEXT(TODAY()-1+TIME(23,0,0),"yyyy-mm-dd hh:mm")</f>
        <v/>
      </c>
    </row>
    <row r="3">
      <c r="A3" t="inlineStr">
        <is>
          <t>GU-DB-24</t>
        </is>
      </c>
      <c r="B3" t="inlineStr">
        <is>
          <t>Adjustable Dumbbell 24 kg</t>
        </is>
      </c>
      <c r="C3" t="inlineStr">
        <is>
          <t>Strength</t>
        </is>
      </c>
      <c r="D3" t="n">
        <v>179</v>
      </c>
      <c r="E3" t="n">
        <v>12</v>
      </c>
      <c r="F3" t="n">
        <v>5</v>
      </c>
      <c r="G3">
        <f>TEXT(TODAY()-1+TIME(23,0,0),"yyyy-mm-dd hh:mm")</f>
        <v/>
      </c>
    </row>
    <row r="4">
      <c r="A4" t="inlineStr">
        <is>
          <t>GU-KB-16</t>
        </is>
      </c>
      <c r="B4" t="inlineStr">
        <is>
          <t>Cast Iron Kettlebell 16 kg</t>
        </is>
      </c>
      <c r="C4" t="inlineStr">
        <is>
          <t>Strength</t>
        </is>
      </c>
      <c r="D4" t="n">
        <v>59</v>
      </c>
      <c r="E4" t="n">
        <v>41</v>
      </c>
      <c r="F4" t="n">
        <v>10</v>
      </c>
      <c r="G4">
        <f>TEXT(TODAY()-1+TIME(23,0,0),"yyyy-mm-dd hh:mm")</f>
        <v/>
      </c>
    </row>
    <row r="5">
      <c r="A5" t="inlineStr">
        <is>
          <t>GU-KB-24</t>
        </is>
      </c>
      <c r="B5" t="inlineStr">
        <is>
          <t>Cast Iron Kettlebell 24 kg</t>
        </is>
      </c>
      <c r="C5" t="inlineStr">
        <is>
          <t>Strength</t>
        </is>
      </c>
      <c r="D5" t="n">
        <v>79</v>
      </c>
      <c r="E5" t="n">
        <v>6</v>
      </c>
      <c r="F5" t="n">
        <v>8</v>
      </c>
      <c r="G5">
        <f>TEXT(TODAY()-1+TIME(23,0,0),"yyyy-mm-dd hh:mm")</f>
        <v/>
      </c>
    </row>
    <row r="6">
      <c r="A6" t="inlineStr">
        <is>
          <t>GU-BAR-20</t>
        </is>
      </c>
      <c r="B6" t="inlineStr">
        <is>
          <t>Olympic Barbell 20 kg</t>
        </is>
      </c>
      <c r="C6" t="inlineStr">
        <is>
          <t>Strength</t>
        </is>
      </c>
      <c r="D6" t="n">
        <v>249</v>
      </c>
      <c r="E6" t="n">
        <v>9</v>
      </c>
      <c r="F6" t="n">
        <v>4</v>
      </c>
      <c r="G6">
        <f>TEXT(TODAY()-1+TIME(23,0,0),"yyyy-mm-dd hh:mm")</f>
        <v/>
      </c>
    </row>
    <row r="7">
      <c r="A7" t="inlineStr">
        <is>
          <t>GU-PL-10</t>
        </is>
      </c>
      <c r="B7" t="inlineStr">
        <is>
          <t>Bumper Plate 10 kg (pair)</t>
        </is>
      </c>
      <c r="C7" t="inlineStr">
        <is>
          <t>Strength</t>
        </is>
      </c>
      <c r="D7" t="n">
        <v>119</v>
      </c>
      <c r="E7" t="n">
        <v>22</v>
      </c>
      <c r="F7" t="n">
        <v>6</v>
      </c>
      <c r="G7">
        <f>TEXT(TODAY()-1+TIME(23,0,0),"yyyy-mm-dd hh:mm")</f>
        <v/>
      </c>
    </row>
    <row r="8">
      <c r="A8" t="inlineStr">
        <is>
          <t>GU-BAND-SET</t>
        </is>
      </c>
      <c r="B8" t="inlineStr">
        <is>
          <t>Resistance Bands Set (5 pcs)</t>
        </is>
      </c>
      <c r="C8" t="inlineStr">
        <is>
          <t>Accessories</t>
        </is>
      </c>
      <c r="D8" t="n">
        <v>29</v>
      </c>
      <c r="E8" t="n">
        <v>140</v>
      </c>
      <c r="F8" t="n">
        <v>30</v>
      </c>
      <c r="G8">
        <f>TEXT(TODAY()-1+TIME(23,0,0),"yyyy-mm-dd hh:mm")</f>
        <v/>
      </c>
    </row>
    <row r="9">
      <c r="A9" t="inlineStr">
        <is>
          <t>GU-MAT-PRO</t>
        </is>
      </c>
      <c r="B9" t="inlineStr">
        <is>
          <t>Pro Yoga Mat 6 mm</t>
        </is>
      </c>
      <c r="C9" t="inlineStr">
        <is>
          <t>Yoga</t>
        </is>
      </c>
      <c r="D9" t="n">
        <v>39</v>
      </c>
      <c r="E9" t="n">
        <v>75</v>
      </c>
      <c r="F9" t="n">
        <v>20</v>
      </c>
      <c r="G9">
        <f>TEXT(TODAY()-1+TIME(23,0,0),"yyyy-mm-dd hh:mm")</f>
        <v/>
      </c>
    </row>
    <row r="10">
      <c r="A10" t="inlineStr">
        <is>
          <t>GU-MAT-ECO</t>
        </is>
      </c>
      <c r="B10" t="inlineStr">
        <is>
          <t>Eco Cork Yoga Mat</t>
        </is>
      </c>
      <c r="C10" t="inlineStr">
        <is>
          <t>Yoga</t>
        </is>
      </c>
      <c r="D10" t="n">
        <v>59</v>
      </c>
      <c r="E10" t="n">
        <v>14</v>
      </c>
      <c r="F10" t="n">
        <v>10</v>
      </c>
      <c r="G10">
        <f>TEXT(TODAY()-1+TIME(23,0,0),"yyyy-mm-dd hh:mm")</f>
        <v/>
      </c>
    </row>
    <row r="11">
      <c r="A11" t="inlineStr">
        <is>
          <t>GU-ROLL-45</t>
        </is>
      </c>
      <c r="B11" t="inlineStr">
        <is>
          <t>Foam Roller 45 cm</t>
        </is>
      </c>
      <c r="C11" t="inlineStr">
        <is>
          <t>Recovery</t>
        </is>
      </c>
      <c r="D11" t="n">
        <v>25</v>
      </c>
      <c r="E11" t="n">
        <v>58</v>
      </c>
      <c r="F11" t="n">
        <v>15</v>
      </c>
      <c r="G11">
        <f>TEXT(TODAY()-1+TIME(23,0,0),"yyyy-mm-dd hh:mm")</f>
        <v/>
      </c>
    </row>
    <row r="12">
      <c r="A12" t="inlineStr">
        <is>
          <t>GU-MGUN-1</t>
        </is>
      </c>
      <c r="B12" t="inlineStr">
        <is>
          <t>Massage Gun Pulse</t>
        </is>
      </c>
      <c r="C12" t="inlineStr">
        <is>
          <t>Recovery</t>
        </is>
      </c>
      <c r="D12" t="n">
        <v>129</v>
      </c>
      <c r="E12" t="n">
        <v>7</v>
      </c>
      <c r="F12" t="n">
        <v>6</v>
      </c>
      <c r="G12">
        <f>TEXT(TODAY()-1+TIME(23,0,0),"yyyy-mm-dd hh:mm")</f>
        <v/>
      </c>
    </row>
    <row r="13">
      <c r="A13" t="inlineStr">
        <is>
          <t>GU-ROPE-SPD</t>
        </is>
      </c>
      <c r="B13" t="inlineStr">
        <is>
          <t>Speed Jump Rope</t>
        </is>
      </c>
      <c r="C13" t="inlineStr">
        <is>
          <t>Cardio</t>
        </is>
      </c>
      <c r="D13" t="n">
        <v>19</v>
      </c>
      <c r="E13" t="n">
        <v>96</v>
      </c>
      <c r="F13" t="n">
        <v>25</v>
      </c>
      <c r="G13">
        <f>TEXT(TODAY()-1+TIME(23,0,0),"yyyy-mm-dd hh:mm")</f>
        <v/>
      </c>
    </row>
    <row r="14">
      <c r="A14" t="inlineStr">
        <is>
          <t>GU-BOX-3IN1</t>
        </is>
      </c>
      <c r="B14" t="inlineStr">
        <is>
          <t>Plyo Box 3-in-1</t>
        </is>
      </c>
      <c r="C14" t="inlineStr">
        <is>
          <t>Cardio</t>
        </is>
      </c>
      <c r="D14" t="n">
        <v>149</v>
      </c>
      <c r="E14" t="n">
        <v>11</v>
      </c>
      <c r="F14" t="n">
        <v>4</v>
      </c>
      <c r="G14">
        <f>TEXT(TODAY()-1+TIME(23,0,0),"yyyy-mm-dd hh:mm")</f>
        <v/>
      </c>
    </row>
    <row r="15">
      <c r="A15" t="inlineStr">
        <is>
          <t>GU-GLV-M</t>
        </is>
      </c>
      <c r="B15" t="inlineStr">
        <is>
          <t>Training Gloves M</t>
        </is>
      </c>
      <c r="C15" t="inlineStr">
        <is>
          <t>Apparel</t>
        </is>
      </c>
      <c r="D15" t="n">
        <v>24</v>
      </c>
      <c r="E15" t="n">
        <v>63</v>
      </c>
      <c r="F15" t="n">
        <v>15</v>
      </c>
      <c r="G15">
        <f>TEXT(TODAY()-1+TIME(23,0,0),"yyyy-mm-dd hh:mm")</f>
        <v/>
      </c>
    </row>
    <row r="16">
      <c r="A16" t="inlineStr">
        <is>
          <t>GU-GLV-L</t>
        </is>
      </c>
      <c r="B16" t="inlineStr">
        <is>
          <t>Training Gloves L</t>
        </is>
      </c>
      <c r="C16" t="inlineStr">
        <is>
          <t>Apparel</t>
        </is>
      </c>
      <c r="D16" t="n">
        <v>24</v>
      </c>
      <c r="E16" t="n">
        <v>3</v>
      </c>
      <c r="F16" t="n">
        <v>15</v>
      </c>
      <c r="G16">
        <f>TEXT(TODAY()-1+TIME(23,0,0),"yyyy-mm-dd hh:mm")</f>
        <v/>
      </c>
    </row>
    <row r="17">
      <c r="A17" t="inlineStr">
        <is>
          <t>GU-BTL-1L</t>
        </is>
      </c>
      <c r="B17" t="inlineStr">
        <is>
          <t>Insulated Bottle 1 L</t>
        </is>
      </c>
      <c r="C17" t="inlineStr">
        <is>
          <t>Accessories</t>
        </is>
      </c>
      <c r="D17" t="n">
        <v>22</v>
      </c>
      <c r="E17" t="n">
        <v>120</v>
      </c>
      <c r="F17" t="n">
        <v>30</v>
      </c>
      <c r="G17">
        <f>TEXT(TODAY()-1+TIME(23,0,0),"yyyy-mm-dd hh:mm")</f>
        <v/>
      </c>
    </row>
    <row r="18">
      <c r="A18" t="inlineStr">
        <is>
          <t>GU-BAG-DUF</t>
        </is>
      </c>
      <c r="B18" t="inlineStr">
        <is>
          <t>Gym Duffel Bag 40 L</t>
        </is>
      </c>
      <c r="C18" t="inlineStr">
        <is>
          <t>Accessories</t>
        </is>
      </c>
      <c r="D18" t="n">
        <v>49</v>
      </c>
      <c r="E18" t="n">
        <v>28</v>
      </c>
      <c r="F18" t="n">
        <v>8</v>
      </c>
      <c r="G18">
        <f>TEXT(TODAY()-1+TIME(23,0,0),"yyyy-mm-dd hh:mm")</f>
        <v/>
      </c>
    </row>
    <row r="19">
      <c r="A19" t="inlineStr">
        <is>
          <t>GU-BENCH-ADJ</t>
        </is>
      </c>
      <c r="B19" t="inlineStr">
        <is>
          <t>Adjustable Bench</t>
        </is>
      </c>
      <c r="C19" t="inlineStr">
        <is>
          <t>Strength</t>
        </is>
      </c>
      <c r="D19" t="n">
        <v>229</v>
      </c>
      <c r="E19" t="n">
        <v>5</v>
      </c>
      <c r="F19" t="n">
        <v>3</v>
      </c>
      <c r="G19">
        <f>TEXT(TODAY()-1+TIME(23,0,0),"yyyy-mm-dd hh:mm")</f>
        <v/>
      </c>
    </row>
    <row r="20">
      <c r="A20" t="inlineStr">
        <is>
          <t>GU-TRX-PRO</t>
        </is>
      </c>
      <c r="B20" t="inlineStr">
        <is>
          <t>Suspension Trainer Pro</t>
        </is>
      </c>
      <c r="C20" t="inlineStr">
        <is>
          <t>Functional</t>
        </is>
      </c>
      <c r="D20" t="n">
        <v>99</v>
      </c>
      <c r="E20" t="n">
        <v>19</v>
      </c>
      <c r="F20" t="n">
        <v>6</v>
      </c>
      <c r="G20">
        <f>TEXT(TODAY()-1+TIME(23,0,0),"yyyy-mm-dd hh:mm")</f>
        <v/>
      </c>
    </row>
    <row r="21">
      <c r="A21" t="inlineStr">
        <is>
          <t>GU-BALL-8</t>
        </is>
      </c>
      <c r="B21" t="inlineStr">
        <is>
          <t>Medicine Ball 8 kg</t>
        </is>
      </c>
      <c r="C21" t="inlineStr">
        <is>
          <t>Functional</t>
        </is>
      </c>
      <c r="D21" t="n">
        <v>45</v>
      </c>
      <c r="E21" t="n">
        <v>2</v>
      </c>
      <c r="F21" t="n">
        <v>6</v>
      </c>
      <c r="G21">
        <f>TEXT(TODAY()-1+TIME(23,0,0),"yyyy-mm-dd hh:mm")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6" customWidth="1" min="3" max="3"/>
    <col width="28" customWidth="1" min="4" max="4"/>
    <col width="13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order_id</t>
        </is>
      </c>
      <c r="B1" s="1" t="inlineStr">
        <is>
          <t>created_at</t>
        </is>
      </c>
      <c r="C1" s="1" t="inlineStr">
        <is>
          <t>customer_name</t>
        </is>
      </c>
      <c r="D1" s="1" t="inlineStr">
        <is>
          <t>customer_email</t>
        </is>
      </c>
      <c r="E1" s="1" t="inlineStr">
        <is>
          <t>customer_tg</t>
        </is>
      </c>
      <c r="F1" s="1" t="inlineStr">
        <is>
          <t>total</t>
        </is>
      </c>
      <c r="G1" s="1" t="inlineStr">
        <is>
          <t>status</t>
        </is>
      </c>
      <c r="H1" s="1" t="inlineStr">
        <is>
          <t>tracking</t>
        </is>
      </c>
    </row>
    <row r="2">
      <c r="A2" t="inlineStr">
        <is>
          <t>GU-1040</t>
        </is>
      </c>
      <c r="B2">
        <f>TEXT(TODAY()-29+TIME(8,47,0),"yyyy-mm-dd hh:mm")</f>
        <v/>
      </c>
      <c r="C2" t="inlineStr">
        <is>
          <t>Sofia Rossi</t>
        </is>
      </c>
      <c r="D2" t="inlineStr">
        <is>
          <t>sofia.rossi@example.com</t>
        </is>
      </c>
      <c r="E2" t="inlineStr"/>
      <c r="F2" t="n">
        <v>249</v>
      </c>
      <c r="G2" t="inlineStr">
        <is>
          <t>delivered</t>
        </is>
      </c>
      <c r="H2" t="inlineStr">
        <is>
          <t>1Z4163119785</t>
        </is>
      </c>
    </row>
    <row r="3">
      <c r="A3" t="inlineStr">
        <is>
          <t>GU-1041</t>
        </is>
      </c>
      <c r="B3">
        <f>TEXT(TODAY()-28+TIME(17,27,0),"yyyy-mm-dd hh:mm")</f>
        <v/>
      </c>
      <c r="C3" t="inlineStr">
        <is>
          <t>Liam Smith</t>
        </is>
      </c>
      <c r="D3" t="inlineStr">
        <is>
          <t>liam.smith@example.com</t>
        </is>
      </c>
      <c r="E3" t="inlineStr"/>
      <c r="F3" t="n">
        <v>29</v>
      </c>
      <c r="G3" t="inlineStr">
        <is>
          <t>delivered</t>
        </is>
      </c>
      <c r="H3" t="inlineStr">
        <is>
          <t>1Z9703905715</t>
        </is>
      </c>
    </row>
    <row r="4">
      <c r="A4" t="inlineStr">
        <is>
          <t>GU-1042</t>
        </is>
      </c>
      <c r="B4">
        <f>TEXT(TODAY()-27+TIME(19,34,0),"yyyy-mm-dd hh:mm")</f>
        <v/>
      </c>
      <c r="C4" t="inlineStr">
        <is>
          <t>Jack Rossi</t>
        </is>
      </c>
      <c r="D4" t="inlineStr">
        <is>
          <t>jack.rossi@example.com</t>
        </is>
      </c>
      <c r="E4" t="inlineStr"/>
      <c r="F4" t="n">
        <v>158</v>
      </c>
      <c r="G4" t="inlineStr">
        <is>
          <t>delivered</t>
        </is>
      </c>
      <c r="H4" t="inlineStr">
        <is>
          <t>1Z7110082321</t>
        </is>
      </c>
    </row>
    <row r="5">
      <c r="A5" t="inlineStr">
        <is>
          <t>GU-1043</t>
        </is>
      </c>
      <c r="B5">
        <f>TEXT(TODAY()-27+TIME(19,41,0),"yyyy-mm-dd hh:mm")</f>
        <v/>
      </c>
      <c r="C5" t="inlineStr">
        <is>
          <t>Sofia Muller</t>
        </is>
      </c>
      <c r="D5" t="inlineStr">
        <is>
          <t>sofia.muller@example.com</t>
        </is>
      </c>
      <c r="E5" t="inlineStr"/>
      <c r="F5" t="n">
        <v>129</v>
      </c>
      <c r="G5" t="inlineStr">
        <is>
          <t>delivered</t>
        </is>
      </c>
      <c r="H5" t="inlineStr">
        <is>
          <t>1Z1438989805</t>
        </is>
      </c>
    </row>
    <row r="6">
      <c r="A6" t="inlineStr">
        <is>
          <t>GU-1044</t>
        </is>
      </c>
      <c r="B6">
        <f>TEXT(TODAY()-26+TIME(9,22,0),"yyyy-mm-dd hh:mm")</f>
        <v/>
      </c>
      <c r="C6" t="inlineStr">
        <is>
          <t>Isla Silva</t>
        </is>
      </c>
      <c r="D6" t="inlineStr">
        <is>
          <t>isla.silva@example.com</t>
        </is>
      </c>
      <c r="E6" t="inlineStr"/>
      <c r="F6" t="n">
        <v>149</v>
      </c>
      <c r="G6" t="inlineStr">
        <is>
          <t>delivered</t>
        </is>
      </c>
      <c r="H6" t="inlineStr">
        <is>
          <t>1Z9928378856</t>
        </is>
      </c>
    </row>
    <row r="7">
      <c r="A7" t="inlineStr">
        <is>
          <t>GU-1045</t>
        </is>
      </c>
      <c r="B7">
        <f>TEXT(TODAY()-26+TIME(17,16,0),"yyyy-mm-dd hh:mm")</f>
        <v/>
      </c>
      <c r="C7" t="inlineStr">
        <is>
          <t>Mason Jensen</t>
        </is>
      </c>
      <c r="D7" t="inlineStr">
        <is>
          <t>mason.jensen@example.com</t>
        </is>
      </c>
      <c r="E7" t="inlineStr"/>
      <c r="F7" t="n">
        <v>186</v>
      </c>
      <c r="G7" t="inlineStr">
        <is>
          <t>delivered</t>
        </is>
      </c>
      <c r="H7" t="inlineStr">
        <is>
          <t>1Z1298737106</t>
        </is>
      </c>
    </row>
    <row r="8">
      <c r="A8" t="inlineStr">
        <is>
          <t>GU-1046</t>
        </is>
      </c>
      <c r="B8">
        <f>TEXT(TODAY()-26+TIME(20,2,0),"yyyy-mm-dd hh:mm")</f>
        <v/>
      </c>
      <c r="C8" t="inlineStr">
        <is>
          <t>Ethan Kowalski</t>
        </is>
      </c>
      <c r="D8" t="inlineStr">
        <is>
          <t>ethan.kowalski@example.com</t>
        </is>
      </c>
      <c r="E8" t="inlineStr"/>
      <c r="F8" t="n">
        <v>39</v>
      </c>
      <c r="G8" t="inlineStr">
        <is>
          <t>delivered</t>
        </is>
      </c>
      <c r="H8" t="inlineStr">
        <is>
          <t>1Z6927597015</t>
        </is>
      </c>
    </row>
    <row r="9">
      <c r="A9" t="inlineStr">
        <is>
          <t>GU-1047</t>
        </is>
      </c>
      <c r="B9">
        <f>TEXT(TODAY()-26+TIME(21,22,0),"yyyy-mm-dd hh:mm")</f>
        <v/>
      </c>
      <c r="C9" t="inlineStr">
        <is>
          <t>Isla Brown</t>
        </is>
      </c>
      <c r="D9" t="inlineStr">
        <is>
          <t>isla.brown@example.com</t>
        </is>
      </c>
      <c r="E9" t="inlineStr"/>
      <c r="F9" t="n">
        <v>38</v>
      </c>
      <c r="G9" t="inlineStr">
        <is>
          <t>delivered</t>
        </is>
      </c>
      <c r="H9" t="inlineStr">
        <is>
          <t>1Z3783290795</t>
        </is>
      </c>
    </row>
    <row r="10">
      <c r="A10" t="inlineStr">
        <is>
          <t>GU-1048</t>
        </is>
      </c>
      <c r="B10">
        <f>TEXT(TODAY()-25+TIME(11,10,0),"yyyy-mm-dd hh:mm")</f>
        <v/>
      </c>
      <c r="C10" t="inlineStr">
        <is>
          <t>Isla Dubois</t>
        </is>
      </c>
      <c r="D10" t="inlineStr">
        <is>
          <t>isla.dubois@example.com</t>
        </is>
      </c>
      <c r="E10" t="inlineStr"/>
      <c r="F10" t="n">
        <v>346</v>
      </c>
      <c r="G10" t="inlineStr">
        <is>
          <t>delivered</t>
        </is>
      </c>
      <c r="H10" t="inlineStr">
        <is>
          <t>1Z1240251661</t>
        </is>
      </c>
    </row>
    <row r="11">
      <c r="A11" t="inlineStr">
        <is>
          <t>GU-1049</t>
        </is>
      </c>
      <c r="B11">
        <f>TEXT(TODAY()-25+TIME(16,46,0),"yyyy-mm-dd hh:mm")</f>
        <v/>
      </c>
      <c r="C11" t="inlineStr">
        <is>
          <t>Liam Brown</t>
        </is>
      </c>
      <c r="D11" t="inlineStr">
        <is>
          <t>liam.brown@example.com</t>
        </is>
      </c>
      <c r="E11" t="inlineStr"/>
      <c r="F11" t="n">
        <v>236</v>
      </c>
      <c r="G11" t="inlineStr">
        <is>
          <t>delivered</t>
        </is>
      </c>
      <c r="H11" t="inlineStr">
        <is>
          <t>1Z2351531223</t>
        </is>
      </c>
    </row>
    <row r="12">
      <c r="A12" t="inlineStr">
        <is>
          <t>GU-1050</t>
        </is>
      </c>
      <c r="B12">
        <f>TEXT(TODAY()-24+TIME(12,8,0),"yyyy-mm-dd hh:mm")</f>
        <v/>
      </c>
      <c r="C12" t="inlineStr">
        <is>
          <t>Ethan Silva</t>
        </is>
      </c>
      <c r="D12" t="inlineStr">
        <is>
          <t>ethan.silva@example.com</t>
        </is>
      </c>
      <c r="E12" t="inlineStr"/>
      <c r="F12" t="n">
        <v>324</v>
      </c>
      <c r="G12" t="inlineStr">
        <is>
          <t>delivered</t>
        </is>
      </c>
      <c r="H12" t="inlineStr">
        <is>
          <t>1Z2554762903</t>
        </is>
      </c>
    </row>
    <row r="13">
      <c r="A13" t="inlineStr">
        <is>
          <t>GU-1051</t>
        </is>
      </c>
      <c r="B13">
        <f>TEXT(TODAY()-24+TIME(14,56,0),"yyyy-mm-dd hh:mm")</f>
        <v/>
      </c>
      <c r="C13" t="inlineStr">
        <is>
          <t>Ava Silva</t>
        </is>
      </c>
      <c r="D13" t="inlineStr">
        <is>
          <t>ava.silva@example.com</t>
        </is>
      </c>
      <c r="E13" t="inlineStr"/>
      <c r="F13" t="n">
        <v>238</v>
      </c>
      <c r="G13" t="inlineStr">
        <is>
          <t>delivered</t>
        </is>
      </c>
      <c r="H13" t="inlineStr">
        <is>
          <t>1Z8217611860</t>
        </is>
      </c>
    </row>
    <row r="14">
      <c r="A14" t="inlineStr">
        <is>
          <t>GU-1052</t>
        </is>
      </c>
      <c r="B14">
        <f>TEXT(TODAY()-24+TIME(15,9,0),"yyyy-mm-dd hh:mm")</f>
        <v/>
      </c>
      <c r="C14" t="inlineStr">
        <is>
          <t>Adam Garcia</t>
        </is>
      </c>
      <c r="D14" t="inlineStr">
        <is>
          <t>adam.garcia@example.com</t>
        </is>
      </c>
      <c r="E14" t="inlineStr"/>
      <c r="F14" t="n">
        <v>221</v>
      </c>
      <c r="G14" t="inlineStr">
        <is>
          <t>delivered</t>
        </is>
      </c>
      <c r="H14" t="inlineStr">
        <is>
          <t>1Z5047709743</t>
        </is>
      </c>
    </row>
    <row r="15">
      <c r="A15" t="inlineStr">
        <is>
          <t>GU-1053</t>
        </is>
      </c>
      <c r="B15">
        <f>TEXT(TODAY()-24+TIME(22,41,0),"yyyy-mm-dd hh:mm")</f>
        <v/>
      </c>
      <c r="C15" t="inlineStr">
        <is>
          <t>Noah Silva</t>
        </is>
      </c>
      <c r="D15" t="inlineStr">
        <is>
          <t>noah.silva@example.com</t>
        </is>
      </c>
      <c r="E15" t="inlineStr"/>
      <c r="F15" t="n">
        <v>208</v>
      </c>
      <c r="G15" t="inlineStr">
        <is>
          <t>delivered</t>
        </is>
      </c>
      <c r="H15" t="inlineStr">
        <is>
          <t>1Z6555540744</t>
        </is>
      </c>
    </row>
    <row r="16">
      <c r="A16" t="inlineStr">
        <is>
          <t>GU-1054</t>
        </is>
      </c>
      <c r="B16">
        <f>TEXT(TODAY()-23+TIME(15,0,0),"yyyy-mm-dd hh:mm")</f>
        <v/>
      </c>
      <c r="C16" t="inlineStr">
        <is>
          <t>Sofia Silva</t>
        </is>
      </c>
      <c r="D16" t="inlineStr">
        <is>
          <t>sofia.silva@example.com</t>
        </is>
      </c>
      <c r="E16" t="inlineStr"/>
      <c r="F16" t="n">
        <v>49</v>
      </c>
      <c r="G16" t="inlineStr">
        <is>
          <t>delivered</t>
        </is>
      </c>
      <c r="H16" t="inlineStr">
        <is>
          <t>1Z3615507143</t>
        </is>
      </c>
    </row>
    <row r="17">
      <c r="A17" t="inlineStr">
        <is>
          <t>GU-1055</t>
        </is>
      </c>
      <c r="B17">
        <f>TEXT(TODAY()-23+TIME(19,56,0),"yyyy-mm-dd hh:mm")</f>
        <v/>
      </c>
      <c r="C17" t="inlineStr">
        <is>
          <t>Ava Brown</t>
        </is>
      </c>
      <c r="D17" t="inlineStr">
        <is>
          <t>ava.brown@example.com</t>
        </is>
      </c>
      <c r="E17" t="inlineStr"/>
      <c r="F17" t="n">
        <v>229</v>
      </c>
      <c r="G17" t="inlineStr">
        <is>
          <t>delivered</t>
        </is>
      </c>
      <c r="H17" t="inlineStr">
        <is>
          <t>1Z4944899549</t>
        </is>
      </c>
    </row>
    <row r="18">
      <c r="A18" t="inlineStr">
        <is>
          <t>GU-1056</t>
        </is>
      </c>
      <c r="B18">
        <f>TEXT(TODAY()-22+TIME(9,59,0),"yyyy-mm-dd hh:mm")</f>
        <v/>
      </c>
      <c r="C18" t="inlineStr">
        <is>
          <t>Mason Rossi</t>
        </is>
      </c>
      <c r="D18" t="inlineStr">
        <is>
          <t>mason.rossi@example.com</t>
        </is>
      </c>
      <c r="E18" t="inlineStr"/>
      <c r="F18" t="n">
        <v>117</v>
      </c>
      <c r="G18" t="inlineStr">
        <is>
          <t>delivered</t>
        </is>
      </c>
      <c r="H18" t="inlineStr">
        <is>
          <t>1Z5067116918</t>
        </is>
      </c>
    </row>
    <row r="19">
      <c r="A19" t="inlineStr">
        <is>
          <t>GU-1057</t>
        </is>
      </c>
      <c r="B19">
        <f>TEXT(TODAY()-22+TIME(13,56,0),"yyyy-mm-dd hh:mm")</f>
        <v/>
      </c>
      <c r="C19" t="inlineStr">
        <is>
          <t>Olivia Novak</t>
        </is>
      </c>
      <c r="D19" t="inlineStr">
        <is>
          <t>olivia.novak@example.com</t>
        </is>
      </c>
      <c r="E19" t="inlineStr"/>
      <c r="F19" t="n">
        <v>229</v>
      </c>
      <c r="G19" t="inlineStr">
        <is>
          <t>delivered</t>
        </is>
      </c>
      <c r="H19" t="inlineStr">
        <is>
          <t>1Z4289233844</t>
        </is>
      </c>
    </row>
    <row r="20">
      <c r="A20" t="inlineStr">
        <is>
          <t>GU-1058</t>
        </is>
      </c>
      <c r="B20">
        <f>TEXT(TODAY()-22+TIME(15,1,0),"yyyy-mm-dd hh:mm")</f>
        <v/>
      </c>
      <c r="C20" t="inlineStr">
        <is>
          <t>Ava Novak</t>
        </is>
      </c>
      <c r="D20" t="inlineStr">
        <is>
          <t>ava.novak@example.com</t>
        </is>
      </c>
      <c r="E20" t="inlineStr"/>
      <c r="F20" t="n">
        <v>394</v>
      </c>
      <c r="G20" t="inlineStr">
        <is>
          <t>delivered</t>
        </is>
      </c>
      <c r="H20" t="inlineStr">
        <is>
          <t>1Z5141907136</t>
        </is>
      </c>
    </row>
    <row r="21">
      <c r="A21" t="inlineStr">
        <is>
          <t>GU-1059</t>
        </is>
      </c>
      <c r="B21">
        <f>TEXT(TODAY()-21+TIME(14,42,0),"yyyy-mm-dd hh:mm")</f>
        <v/>
      </c>
      <c r="C21" t="inlineStr">
        <is>
          <t>Leo Novak</t>
        </is>
      </c>
      <c r="D21" t="inlineStr">
        <is>
          <t>leo.novak@example.com</t>
        </is>
      </c>
      <c r="E21" t="inlineStr"/>
      <c r="F21" t="n">
        <v>142</v>
      </c>
      <c r="G21" t="inlineStr">
        <is>
          <t>delivered</t>
        </is>
      </c>
      <c r="H21" t="inlineStr">
        <is>
          <t>1Z2452066459</t>
        </is>
      </c>
    </row>
    <row r="22">
      <c r="A22" t="inlineStr">
        <is>
          <t>GU-1060</t>
        </is>
      </c>
      <c r="B22">
        <f>TEXT(TODAY()-21+TIME(19,19,0),"yyyy-mm-dd hh:mm")</f>
        <v/>
      </c>
      <c r="C22" t="inlineStr">
        <is>
          <t>Zoe Silva</t>
        </is>
      </c>
      <c r="D22" t="inlineStr">
        <is>
          <t>zoe.silva@example.com</t>
        </is>
      </c>
      <c r="E22" t="inlineStr"/>
      <c r="F22" t="n">
        <v>99</v>
      </c>
      <c r="G22" t="inlineStr">
        <is>
          <t>delivered</t>
        </is>
      </c>
      <c r="H22" t="inlineStr">
        <is>
          <t>1Z1945826486</t>
        </is>
      </c>
    </row>
    <row r="23">
      <c r="A23" t="inlineStr">
        <is>
          <t>GU-1061</t>
        </is>
      </c>
      <c r="B23">
        <f>TEXT(TODAY()-20+TIME(19,40,0),"yyyy-mm-dd hh:mm")</f>
        <v/>
      </c>
      <c r="C23" t="inlineStr">
        <is>
          <t>Liam Rossi</t>
        </is>
      </c>
      <c r="D23" t="inlineStr">
        <is>
          <t>liam.rossi@example.com</t>
        </is>
      </c>
      <c r="E23" t="inlineStr"/>
      <c r="F23" t="n">
        <v>179</v>
      </c>
      <c r="G23" t="inlineStr">
        <is>
          <t>delivered</t>
        </is>
      </c>
      <c r="H23" t="inlineStr">
        <is>
          <t>1Z8987073217</t>
        </is>
      </c>
    </row>
    <row r="24">
      <c r="A24" t="inlineStr">
        <is>
          <t>GU-1062</t>
        </is>
      </c>
      <c r="B24">
        <f>TEXT(TODAY()-19+TIME(16,15,0),"yyyy-mm-dd hh:mm")</f>
        <v/>
      </c>
      <c r="C24" t="inlineStr">
        <is>
          <t>Sofia Novak</t>
        </is>
      </c>
      <c r="D24" t="inlineStr">
        <is>
          <t>sofia.novak@example.com</t>
        </is>
      </c>
      <c r="E24" t="inlineStr"/>
      <c r="F24" t="n">
        <v>229</v>
      </c>
      <c r="G24" t="inlineStr">
        <is>
          <t>delivered</t>
        </is>
      </c>
      <c r="H24" t="inlineStr">
        <is>
          <t>1Z3030106617</t>
        </is>
      </c>
    </row>
    <row r="25">
      <c r="A25" t="inlineStr">
        <is>
          <t>GU-1063</t>
        </is>
      </c>
      <c r="B25">
        <f>TEXT(TODAY()-18+TIME(9,42,0),"yyyy-mm-dd hh:mm")</f>
        <v/>
      </c>
      <c r="C25" t="inlineStr">
        <is>
          <t>Jack Dubois</t>
        </is>
      </c>
      <c r="D25" t="inlineStr">
        <is>
          <t>jack.dubois@example.com</t>
        </is>
      </c>
      <c r="E25" t="inlineStr"/>
      <c r="F25" t="n">
        <v>258</v>
      </c>
      <c r="G25" t="inlineStr">
        <is>
          <t>delivered</t>
        </is>
      </c>
      <c r="H25" t="inlineStr">
        <is>
          <t>1Z5555296751</t>
        </is>
      </c>
    </row>
    <row r="26">
      <c r="A26" t="inlineStr">
        <is>
          <t>GU-1064</t>
        </is>
      </c>
      <c r="B26">
        <f>TEXT(TODAY()-18+TIME(11,6,0),"yyyy-mm-dd hh:mm")</f>
        <v/>
      </c>
      <c r="C26" t="inlineStr">
        <is>
          <t>Chloe Garcia</t>
        </is>
      </c>
      <c r="D26" t="inlineStr">
        <is>
          <t>chloe.garcia@example.com</t>
        </is>
      </c>
      <c r="E26" t="inlineStr"/>
      <c r="F26" t="n">
        <v>29</v>
      </c>
      <c r="G26" t="inlineStr">
        <is>
          <t>delivered</t>
        </is>
      </c>
      <c r="H26" t="inlineStr">
        <is>
          <t>1Z7598297060</t>
        </is>
      </c>
    </row>
    <row r="27">
      <c r="A27" t="inlineStr">
        <is>
          <t>GU-1065</t>
        </is>
      </c>
      <c r="B27">
        <f>TEXT(TODAY()-18+TIME(14,22,0),"yyyy-mm-dd hh:mm")</f>
        <v/>
      </c>
      <c r="C27" t="inlineStr">
        <is>
          <t>Ava Dubois</t>
        </is>
      </c>
      <c r="D27" t="inlineStr">
        <is>
          <t>ava.dubois@example.com</t>
        </is>
      </c>
      <c r="E27" t="inlineStr"/>
      <c r="F27" t="n">
        <v>118</v>
      </c>
      <c r="G27" t="inlineStr">
        <is>
          <t>delivered</t>
        </is>
      </c>
      <c r="H27" t="inlineStr">
        <is>
          <t>1Z4965395580</t>
        </is>
      </c>
    </row>
    <row r="28">
      <c r="A28" t="inlineStr">
        <is>
          <t>GU-1066</t>
        </is>
      </c>
      <c r="B28">
        <f>TEXT(TODAY()-18+TIME(20,26,0),"yyyy-mm-dd hh:mm")</f>
        <v/>
      </c>
      <c r="C28" t="inlineStr">
        <is>
          <t>Isla Silva</t>
        </is>
      </c>
      <c r="D28" t="inlineStr">
        <is>
          <t>isla.silva@example.com</t>
        </is>
      </c>
      <c r="E28" t="inlineStr"/>
      <c r="F28" t="n">
        <v>179</v>
      </c>
      <c r="G28" t="inlineStr">
        <is>
          <t>delivered</t>
        </is>
      </c>
      <c r="H28" t="inlineStr">
        <is>
          <t>1Z2015242176</t>
        </is>
      </c>
    </row>
    <row r="29">
      <c r="A29" t="inlineStr">
        <is>
          <t>GU-1067</t>
        </is>
      </c>
      <c r="B29">
        <f>TEXT(TODAY()-17+TIME(8,10,0),"yyyy-mm-dd hh:mm")</f>
        <v/>
      </c>
      <c r="C29" t="inlineStr">
        <is>
          <t>Grace Smith</t>
        </is>
      </c>
      <c r="D29" t="inlineStr">
        <is>
          <t>grace.smith@example.com</t>
        </is>
      </c>
      <c r="E29" t="inlineStr"/>
      <c r="F29" t="n">
        <v>166</v>
      </c>
      <c r="G29" t="inlineStr">
        <is>
          <t>delivered</t>
        </is>
      </c>
      <c r="H29" t="inlineStr">
        <is>
          <t>1Z3090237817</t>
        </is>
      </c>
    </row>
    <row r="30">
      <c r="A30" t="inlineStr">
        <is>
          <t>GU-1068</t>
        </is>
      </c>
      <c r="B30">
        <f>TEXT(TODAY()-17+TIME(11,55,0),"yyyy-mm-dd hh:mm")</f>
        <v/>
      </c>
      <c r="C30" t="inlineStr">
        <is>
          <t>Mia Kowalski</t>
        </is>
      </c>
      <c r="D30" t="inlineStr">
        <is>
          <t>mia.kowalski@example.com</t>
        </is>
      </c>
      <c r="E30" t="inlineStr"/>
      <c r="F30" t="n">
        <v>179</v>
      </c>
      <c r="G30" t="inlineStr">
        <is>
          <t>delivered</t>
        </is>
      </c>
      <c r="H30" t="inlineStr">
        <is>
          <t>1Z3328710672</t>
        </is>
      </c>
    </row>
    <row r="31">
      <c r="A31" t="inlineStr">
        <is>
          <t>GU-1069</t>
        </is>
      </c>
      <c r="B31">
        <f>TEXT(TODAY()-17+TIME(14,57,0),"yyyy-mm-dd hh:mm")</f>
        <v/>
      </c>
      <c r="C31" t="inlineStr">
        <is>
          <t>Chloe Smith</t>
        </is>
      </c>
      <c r="D31" t="inlineStr">
        <is>
          <t>chloe.smith@example.com</t>
        </is>
      </c>
      <c r="E31" t="inlineStr"/>
      <c r="F31" t="n">
        <v>99</v>
      </c>
      <c r="G31" t="inlineStr">
        <is>
          <t>delivered</t>
        </is>
      </c>
      <c r="H31" t="inlineStr">
        <is>
          <t>1Z3281169403</t>
        </is>
      </c>
    </row>
    <row r="32">
      <c r="A32" t="inlineStr">
        <is>
          <t>GU-1070</t>
        </is>
      </c>
      <c r="B32">
        <f>TEXT(TODAY()-17+TIME(15,30,0),"yyyy-mm-dd hh:mm")</f>
        <v/>
      </c>
      <c r="C32" t="inlineStr">
        <is>
          <t>Liam Silva</t>
        </is>
      </c>
      <c r="D32" t="inlineStr">
        <is>
          <t>liam.silva@example.com</t>
        </is>
      </c>
      <c r="E32" t="inlineStr"/>
      <c r="F32" t="n">
        <v>119</v>
      </c>
      <c r="G32" t="inlineStr">
        <is>
          <t>delivered</t>
        </is>
      </c>
      <c r="H32" t="inlineStr">
        <is>
          <t>1Z9884231465</t>
        </is>
      </c>
    </row>
    <row r="33">
      <c r="A33" t="inlineStr">
        <is>
          <t>GU-1071</t>
        </is>
      </c>
      <c r="B33">
        <f>TEXT(TODAY()-16+TIME(18,55,0),"yyyy-mm-dd hh:mm")</f>
        <v/>
      </c>
      <c r="C33" t="inlineStr">
        <is>
          <t>Ethan Dubois</t>
        </is>
      </c>
      <c r="D33" t="inlineStr">
        <is>
          <t>ethan.dubois@example.com</t>
        </is>
      </c>
      <c r="E33" t="inlineStr"/>
      <c r="F33" t="n">
        <v>99</v>
      </c>
      <c r="G33" t="inlineStr">
        <is>
          <t>delivered</t>
        </is>
      </c>
      <c r="H33" t="inlineStr">
        <is>
          <t>1Z3553440342</t>
        </is>
      </c>
    </row>
    <row r="34">
      <c r="A34" t="inlineStr">
        <is>
          <t>GU-1072</t>
        </is>
      </c>
      <c r="B34">
        <f>TEXT(TODAY()-15+TIME(14,42,0),"yyyy-mm-dd hh:mm")</f>
        <v/>
      </c>
      <c r="C34" t="inlineStr">
        <is>
          <t>Zoe Jensen</t>
        </is>
      </c>
      <c r="D34" t="inlineStr">
        <is>
          <t>zoe.jensen@example.com</t>
        </is>
      </c>
      <c r="E34" t="inlineStr"/>
      <c r="F34" t="n">
        <v>393</v>
      </c>
      <c r="G34" t="inlineStr">
        <is>
          <t>delivered</t>
        </is>
      </c>
      <c r="H34" t="inlineStr">
        <is>
          <t>1Z2349409434</t>
        </is>
      </c>
    </row>
    <row r="35">
      <c r="A35" t="inlineStr">
        <is>
          <t>GU-1073</t>
        </is>
      </c>
      <c r="B35">
        <f>TEXT(TODAY()-14+TIME(12,29,0),"yyyy-mm-dd hh:mm")</f>
        <v/>
      </c>
      <c r="C35" t="inlineStr">
        <is>
          <t>Chloe Garcia</t>
        </is>
      </c>
      <c r="D35" t="inlineStr">
        <is>
          <t>chloe.garcia@example.com</t>
        </is>
      </c>
      <c r="E35" t="inlineStr"/>
      <c r="F35" t="n">
        <v>72</v>
      </c>
      <c r="G35" t="inlineStr">
        <is>
          <t>delivered</t>
        </is>
      </c>
      <c r="H35" t="inlineStr">
        <is>
          <t>1Z5278201677</t>
        </is>
      </c>
    </row>
    <row r="36">
      <c r="A36" t="inlineStr">
        <is>
          <t>GU-1074</t>
        </is>
      </c>
      <c r="B36">
        <f>TEXT(TODAY()-14+TIME(14,8,0),"yyyy-mm-dd hh:mm")</f>
        <v/>
      </c>
      <c r="C36" t="inlineStr">
        <is>
          <t>Olivia Silva</t>
        </is>
      </c>
      <c r="D36" t="inlineStr">
        <is>
          <t>olivia.silva@example.com</t>
        </is>
      </c>
      <c r="E36" t="inlineStr"/>
      <c r="F36" t="n">
        <v>98</v>
      </c>
      <c r="G36" t="inlineStr">
        <is>
          <t>delivered</t>
        </is>
      </c>
      <c r="H36" t="inlineStr">
        <is>
          <t>1Z6344160868</t>
        </is>
      </c>
    </row>
    <row r="37">
      <c r="A37" t="inlineStr">
        <is>
          <t>GU-1075</t>
        </is>
      </c>
      <c r="B37">
        <f>TEXT(TODAY()-14+TIME(18,41,0),"yyyy-mm-dd hh:mm")</f>
        <v/>
      </c>
      <c r="C37" t="inlineStr">
        <is>
          <t>Mason Muller</t>
        </is>
      </c>
      <c r="D37" t="inlineStr">
        <is>
          <t>mason.muller@example.com</t>
        </is>
      </c>
      <c r="E37" t="inlineStr"/>
      <c r="F37" t="n">
        <v>304</v>
      </c>
      <c r="G37" t="inlineStr">
        <is>
          <t>delivered</t>
        </is>
      </c>
      <c r="H37" t="inlineStr">
        <is>
          <t>1Z3271782991</t>
        </is>
      </c>
    </row>
    <row r="38">
      <c r="A38" t="inlineStr">
        <is>
          <t>GU-1076</t>
        </is>
      </c>
      <c r="B38">
        <f>TEXT(TODAY()-13+TIME(9,56,0),"yyyy-mm-dd hh:mm")</f>
        <v/>
      </c>
      <c r="C38" t="inlineStr">
        <is>
          <t>Noah Garcia</t>
        </is>
      </c>
      <c r="D38" t="inlineStr">
        <is>
          <t>noah.garcia@example.com</t>
        </is>
      </c>
      <c r="E38" t="inlineStr"/>
      <c r="F38" t="n">
        <v>596</v>
      </c>
      <c r="G38" t="inlineStr">
        <is>
          <t>delivered</t>
        </is>
      </c>
      <c r="H38" t="inlineStr">
        <is>
          <t>1Z3597724331</t>
        </is>
      </c>
    </row>
    <row r="39">
      <c r="A39" t="inlineStr">
        <is>
          <t>GU-1077</t>
        </is>
      </c>
      <c r="B39">
        <f>TEXT(TODAY()-13+TIME(10,16,0),"yyyy-mm-dd hh:mm")</f>
        <v/>
      </c>
      <c r="C39" t="inlineStr">
        <is>
          <t>Chloe Rossi</t>
        </is>
      </c>
      <c r="D39" t="inlineStr">
        <is>
          <t>chloe.rossi@example.com</t>
        </is>
      </c>
      <c r="E39" t="inlineStr"/>
      <c r="F39" t="n">
        <v>189</v>
      </c>
      <c r="G39" t="inlineStr">
        <is>
          <t>delivered</t>
        </is>
      </c>
      <c r="H39" t="inlineStr">
        <is>
          <t>1Z8019198243</t>
        </is>
      </c>
    </row>
    <row r="40">
      <c r="A40" t="inlineStr">
        <is>
          <t>GU-1078</t>
        </is>
      </c>
      <c r="B40">
        <f>TEXT(TODAY()-13+TIME(22,42,0),"yyyy-mm-dd hh:mm")</f>
        <v/>
      </c>
      <c r="C40" t="inlineStr">
        <is>
          <t>Sofia Smith</t>
        </is>
      </c>
      <c r="D40" t="inlineStr">
        <is>
          <t>sofia.smith@example.com</t>
        </is>
      </c>
      <c r="E40" t="inlineStr"/>
      <c r="F40" t="n">
        <v>129</v>
      </c>
      <c r="G40" t="inlineStr">
        <is>
          <t>delivered</t>
        </is>
      </c>
      <c r="H40" t="inlineStr">
        <is>
          <t>1Z4311931853</t>
        </is>
      </c>
    </row>
    <row r="41">
      <c r="A41" t="inlineStr">
        <is>
          <t>GU-1079</t>
        </is>
      </c>
      <c r="B41">
        <f>TEXT(TODAY()-12+TIME(10,47,0),"yyyy-mm-dd hh:mm")</f>
        <v/>
      </c>
      <c r="C41" t="inlineStr">
        <is>
          <t>Ryan Smith</t>
        </is>
      </c>
      <c r="D41" t="inlineStr">
        <is>
          <t>ryan.smith@example.com</t>
        </is>
      </c>
      <c r="E41" t="inlineStr"/>
      <c r="F41" t="n">
        <v>177</v>
      </c>
      <c r="G41" t="inlineStr">
        <is>
          <t>delivered</t>
        </is>
      </c>
      <c r="H41" t="inlineStr">
        <is>
          <t>1Z4882343658</t>
        </is>
      </c>
    </row>
    <row r="42">
      <c r="A42" t="inlineStr">
        <is>
          <t>GU-1080</t>
        </is>
      </c>
      <c r="B42">
        <f>TEXT(TODAY()-12+TIME(15,35,0),"yyyy-mm-dd hh:mm")</f>
        <v/>
      </c>
      <c r="C42" t="inlineStr">
        <is>
          <t>Ryan Smith</t>
        </is>
      </c>
      <c r="D42" t="inlineStr">
        <is>
          <t>ryan.smith@example.com</t>
        </is>
      </c>
      <c r="E42" t="inlineStr"/>
      <c r="F42" t="n">
        <v>328</v>
      </c>
      <c r="G42" t="inlineStr">
        <is>
          <t>delivered</t>
        </is>
      </c>
      <c r="H42" t="inlineStr">
        <is>
          <t>1Z5931025271</t>
        </is>
      </c>
    </row>
    <row r="43">
      <c r="A43" t="inlineStr">
        <is>
          <t>GU-1081</t>
        </is>
      </c>
      <c r="B43">
        <f>TEXT(TODAY()-12+TIME(19,27,0),"yyyy-mm-dd hh:mm")</f>
        <v/>
      </c>
      <c r="C43" t="inlineStr">
        <is>
          <t>Ava Smith</t>
        </is>
      </c>
      <c r="D43" t="inlineStr">
        <is>
          <t>ava.smith@example.com</t>
        </is>
      </c>
      <c r="E43" t="inlineStr"/>
      <c r="F43" t="n">
        <v>217</v>
      </c>
      <c r="G43" t="inlineStr">
        <is>
          <t>delivered</t>
        </is>
      </c>
      <c r="H43" t="inlineStr">
        <is>
          <t>1Z5736462531</t>
        </is>
      </c>
    </row>
    <row r="44">
      <c r="A44" t="inlineStr">
        <is>
          <t>GU-1082</t>
        </is>
      </c>
      <c r="B44">
        <f>TEXT(TODAY()-11+TIME(10,59,0),"yyyy-mm-dd hh:mm")</f>
        <v/>
      </c>
      <c r="C44" t="inlineStr">
        <is>
          <t>Lucas Dubois</t>
        </is>
      </c>
      <c r="D44" t="inlineStr">
        <is>
          <t>lucas.dubois@example.com</t>
        </is>
      </c>
      <c r="E44" t="inlineStr"/>
      <c r="F44" t="n">
        <v>119</v>
      </c>
      <c r="G44" t="inlineStr">
        <is>
          <t>delivered</t>
        </is>
      </c>
      <c r="H44" t="inlineStr">
        <is>
          <t>1Z9292791081</t>
        </is>
      </c>
    </row>
    <row r="45">
      <c r="A45" t="inlineStr">
        <is>
          <t>GU-1083</t>
        </is>
      </c>
      <c r="B45">
        <f>TEXT(TODAY()-11+TIME(17,47,0),"yyyy-mm-dd hh:mm")</f>
        <v/>
      </c>
      <c r="C45" t="inlineStr">
        <is>
          <t>Ethan Kowalski</t>
        </is>
      </c>
      <c r="D45" t="inlineStr">
        <is>
          <t>ethan.kowalski@example.com</t>
        </is>
      </c>
      <c r="E45" t="inlineStr"/>
      <c r="F45" t="n">
        <v>79</v>
      </c>
      <c r="G45" t="inlineStr">
        <is>
          <t>delivered</t>
        </is>
      </c>
      <c r="H45" t="inlineStr">
        <is>
          <t>1Z3021598245</t>
        </is>
      </c>
    </row>
    <row r="46">
      <c r="A46" t="inlineStr">
        <is>
          <t>GU-1084</t>
        </is>
      </c>
      <c r="B46">
        <f>TEXT(TODAY()-11+TIME(21,10,0),"yyyy-mm-dd hh:mm")</f>
        <v/>
      </c>
      <c r="C46" t="inlineStr">
        <is>
          <t>Mia Novak</t>
        </is>
      </c>
      <c r="D46" t="inlineStr">
        <is>
          <t>mia.novak@example.com</t>
        </is>
      </c>
      <c r="E46" t="inlineStr"/>
      <c r="F46" t="n">
        <v>64</v>
      </c>
      <c r="G46" t="inlineStr">
        <is>
          <t>delivered</t>
        </is>
      </c>
      <c r="H46" t="inlineStr">
        <is>
          <t>1Z3834820954</t>
        </is>
      </c>
    </row>
    <row r="47">
      <c r="A47" t="inlineStr">
        <is>
          <t>GU-1085</t>
        </is>
      </c>
      <c r="B47">
        <f>TEXT(TODAY()-11+TIME(22,15,0),"yyyy-mm-dd hh:mm")</f>
        <v/>
      </c>
      <c r="C47" t="inlineStr">
        <is>
          <t>Grace Brown</t>
        </is>
      </c>
      <c r="D47" t="inlineStr">
        <is>
          <t>grace.brown@example.com</t>
        </is>
      </c>
      <c r="E47" t="inlineStr"/>
      <c r="F47" t="n">
        <v>295</v>
      </c>
      <c r="G47" t="inlineStr">
        <is>
          <t>delivered</t>
        </is>
      </c>
      <c r="H47" t="inlineStr">
        <is>
          <t>1Z7482848011</t>
        </is>
      </c>
    </row>
    <row r="48">
      <c r="A48" t="inlineStr">
        <is>
          <t>GU-1086</t>
        </is>
      </c>
      <c r="B48">
        <f>TEXT(TODAY()-10+TIME(8,7,0),"yyyy-mm-dd hh:mm")</f>
        <v/>
      </c>
      <c r="C48" t="inlineStr">
        <is>
          <t>Sofia Smith</t>
        </is>
      </c>
      <c r="D48" t="inlineStr">
        <is>
          <t>sofia.smith@example.com</t>
        </is>
      </c>
      <c r="E48" t="inlineStr"/>
      <c r="F48" t="n">
        <v>90</v>
      </c>
      <c r="G48" t="inlineStr">
        <is>
          <t>delivered</t>
        </is>
      </c>
      <c r="H48" t="inlineStr">
        <is>
          <t>1Z8672650595</t>
        </is>
      </c>
    </row>
    <row r="49">
      <c r="A49" t="inlineStr">
        <is>
          <t>GU-1087</t>
        </is>
      </c>
      <c r="B49">
        <f>TEXT(TODAY()-10+TIME(10,37,0),"yyyy-mm-dd hh:mm")</f>
        <v/>
      </c>
      <c r="C49" t="inlineStr">
        <is>
          <t>Jack Jensen</t>
        </is>
      </c>
      <c r="D49" t="inlineStr">
        <is>
          <t>jack.jensen@example.com</t>
        </is>
      </c>
      <c r="E49" t="inlineStr"/>
      <c r="F49" t="n">
        <v>286</v>
      </c>
      <c r="G49" t="inlineStr">
        <is>
          <t>delivered</t>
        </is>
      </c>
      <c r="H49" t="inlineStr">
        <is>
          <t>1Z9780573290</t>
        </is>
      </c>
    </row>
    <row r="50">
      <c r="A50" t="inlineStr">
        <is>
          <t>GU-1088</t>
        </is>
      </c>
      <c r="B50">
        <f>TEXT(TODAY()-10+TIME(22,16,0),"yyyy-mm-dd hh:mm")</f>
        <v/>
      </c>
      <c r="C50" t="inlineStr">
        <is>
          <t>Jack Smith</t>
        </is>
      </c>
      <c r="D50" t="inlineStr">
        <is>
          <t>jack.smith@example.com</t>
        </is>
      </c>
      <c r="E50" t="inlineStr"/>
      <c r="F50" t="n">
        <v>306</v>
      </c>
      <c r="G50" t="inlineStr">
        <is>
          <t>delivered</t>
        </is>
      </c>
      <c r="H50" t="inlineStr">
        <is>
          <t>1Z9249648005</t>
        </is>
      </c>
    </row>
    <row r="51">
      <c r="A51" t="inlineStr">
        <is>
          <t>GU-1089</t>
        </is>
      </c>
      <c r="B51">
        <f>TEXT(TODAY()-9+TIME(9,46,0),"yyyy-mm-dd hh:mm")</f>
        <v/>
      </c>
      <c r="C51" t="inlineStr">
        <is>
          <t>Nora Kowalski</t>
        </is>
      </c>
      <c r="D51" t="inlineStr">
        <is>
          <t>nora.kowalski@example.com</t>
        </is>
      </c>
      <c r="E51" t="inlineStr"/>
      <c r="F51" t="n">
        <v>350</v>
      </c>
      <c r="G51" t="inlineStr">
        <is>
          <t>delivered</t>
        </is>
      </c>
      <c r="H51" t="inlineStr">
        <is>
          <t>1Z1546696950</t>
        </is>
      </c>
    </row>
    <row r="52">
      <c r="A52" t="inlineStr">
        <is>
          <t>GU-1090</t>
        </is>
      </c>
      <c r="B52">
        <f>TEXT(TODAY()-9+TIME(18,54,0),"yyyy-mm-dd hh:mm")</f>
        <v/>
      </c>
      <c r="C52" t="inlineStr">
        <is>
          <t>Jack Dubois</t>
        </is>
      </c>
      <c r="D52" t="inlineStr">
        <is>
          <t>jack.dubois@example.com</t>
        </is>
      </c>
      <c r="E52" t="inlineStr"/>
      <c r="F52" t="n">
        <v>268</v>
      </c>
      <c r="G52" t="inlineStr">
        <is>
          <t>delivered</t>
        </is>
      </c>
      <c r="H52" t="inlineStr">
        <is>
          <t>1Z5296710795</t>
        </is>
      </c>
    </row>
    <row r="53">
      <c r="A53" t="inlineStr">
        <is>
          <t>GU-1091</t>
        </is>
      </c>
      <c r="B53">
        <f>TEXT(TODAY()-9+TIME(22,19,0),"yyyy-mm-dd hh:mm")</f>
        <v/>
      </c>
      <c r="C53" t="inlineStr">
        <is>
          <t>Mason Rossi</t>
        </is>
      </c>
      <c r="D53" t="inlineStr">
        <is>
          <t>mason.rossi@example.com</t>
        </is>
      </c>
      <c r="E53" t="inlineStr"/>
      <c r="F53" t="n">
        <v>228</v>
      </c>
      <c r="G53" t="inlineStr">
        <is>
          <t>delivered</t>
        </is>
      </c>
      <c r="H53" t="inlineStr">
        <is>
          <t>1Z7292076361</t>
        </is>
      </c>
    </row>
    <row r="54">
      <c r="A54" t="inlineStr">
        <is>
          <t>GU-1092</t>
        </is>
      </c>
      <c r="B54">
        <f>TEXT(TODAY()-8+TIME(16,30,0),"yyyy-mm-dd hh:mm")</f>
        <v/>
      </c>
      <c r="C54" t="inlineStr">
        <is>
          <t>Lucas Garcia</t>
        </is>
      </c>
      <c r="D54" t="inlineStr">
        <is>
          <t>lucas.garcia@example.com</t>
        </is>
      </c>
      <c r="E54" t="inlineStr"/>
      <c r="F54" t="n">
        <v>178</v>
      </c>
      <c r="G54" t="inlineStr">
        <is>
          <t>delivered</t>
        </is>
      </c>
      <c r="H54" t="inlineStr">
        <is>
          <t>1Z4226113732</t>
        </is>
      </c>
    </row>
    <row r="55">
      <c r="A55" t="inlineStr">
        <is>
          <t>GU-1093</t>
        </is>
      </c>
      <c r="B55">
        <f>TEXT(TODAY()-8+TIME(18,13,0),"yyyy-mm-dd hh:mm")</f>
        <v/>
      </c>
      <c r="C55" t="inlineStr">
        <is>
          <t>Mason Rossi</t>
        </is>
      </c>
      <c r="D55" t="inlineStr">
        <is>
          <t>mason.rossi@example.com</t>
        </is>
      </c>
      <c r="E55" t="inlineStr"/>
      <c r="F55" t="n">
        <v>249</v>
      </c>
      <c r="G55" t="inlineStr">
        <is>
          <t>delivered</t>
        </is>
      </c>
      <c r="H55" t="inlineStr">
        <is>
          <t>1Z1104906255</t>
        </is>
      </c>
    </row>
    <row r="56">
      <c r="A56" t="inlineStr">
        <is>
          <t>GU-1094</t>
        </is>
      </c>
      <c r="B56">
        <f>TEXT(TODAY()-8+TIME(20,47,0),"yyyy-mm-dd hh:mm")</f>
        <v/>
      </c>
      <c r="C56" t="inlineStr">
        <is>
          <t>Ethan Novak</t>
        </is>
      </c>
      <c r="D56" t="inlineStr">
        <is>
          <t>ethan.novak@example.com</t>
        </is>
      </c>
      <c r="E56" t="inlineStr"/>
      <c r="F56" t="n">
        <v>273</v>
      </c>
      <c r="G56" t="inlineStr">
        <is>
          <t>delivered</t>
        </is>
      </c>
      <c r="H56" t="inlineStr">
        <is>
          <t>1Z6944142262</t>
        </is>
      </c>
    </row>
    <row r="57">
      <c r="A57" t="inlineStr">
        <is>
          <t>GU-1095</t>
        </is>
      </c>
      <c r="B57">
        <f>TEXT(TODAY()-8+TIME(20,57,0),"yyyy-mm-dd hh:mm")</f>
        <v/>
      </c>
      <c r="C57" t="inlineStr">
        <is>
          <t>Grace Rossi</t>
        </is>
      </c>
      <c r="D57" t="inlineStr">
        <is>
          <t>grace.rossi@example.com</t>
        </is>
      </c>
      <c r="E57" t="inlineStr"/>
      <c r="F57" t="n">
        <v>89</v>
      </c>
      <c r="G57" t="inlineStr">
        <is>
          <t>delivered</t>
        </is>
      </c>
      <c r="H57" t="inlineStr">
        <is>
          <t>1Z4803044105</t>
        </is>
      </c>
    </row>
    <row r="58">
      <c r="A58" t="inlineStr">
        <is>
          <t>GU-1096</t>
        </is>
      </c>
      <c r="B58">
        <f>TEXT(TODAY()-7+TIME(8,35,0),"yyyy-mm-dd hh:mm")</f>
        <v/>
      </c>
      <c r="C58" t="inlineStr">
        <is>
          <t>Ethan Garcia</t>
        </is>
      </c>
      <c r="D58" t="inlineStr">
        <is>
          <t>ethan.garcia@example.com</t>
        </is>
      </c>
      <c r="E58" t="inlineStr"/>
      <c r="F58" t="n">
        <v>321</v>
      </c>
      <c r="G58" t="inlineStr">
        <is>
          <t>delivered</t>
        </is>
      </c>
      <c r="H58" t="inlineStr">
        <is>
          <t>1Z8995059760</t>
        </is>
      </c>
    </row>
    <row r="59">
      <c r="A59" t="inlineStr">
        <is>
          <t>GU-1097</t>
        </is>
      </c>
      <c r="B59">
        <f>TEXT(TODAY()-7+TIME(11,11,0),"yyyy-mm-dd hh:mm")</f>
        <v/>
      </c>
      <c r="C59" t="inlineStr">
        <is>
          <t>Isla Kowalski</t>
        </is>
      </c>
      <c r="D59" t="inlineStr">
        <is>
          <t>isla.kowalski@example.com</t>
        </is>
      </c>
      <c r="E59" t="inlineStr"/>
      <c r="F59" t="n">
        <v>177</v>
      </c>
      <c r="G59" t="inlineStr">
        <is>
          <t>delivered</t>
        </is>
      </c>
      <c r="H59" t="inlineStr">
        <is>
          <t>1Z6322520473</t>
        </is>
      </c>
    </row>
    <row r="60">
      <c r="A60" t="inlineStr">
        <is>
          <t>GU-1098</t>
        </is>
      </c>
      <c r="B60">
        <f>TEXT(TODAY()-7+TIME(16,29,0),"yyyy-mm-dd hh:mm")</f>
        <v/>
      </c>
      <c r="C60" t="inlineStr">
        <is>
          <t>Isla Garcia</t>
        </is>
      </c>
      <c r="D60" t="inlineStr">
        <is>
          <t>isla.garcia@example.com</t>
        </is>
      </c>
      <c r="E60" t="inlineStr"/>
      <c r="F60" t="n">
        <v>305</v>
      </c>
      <c r="G60" t="inlineStr">
        <is>
          <t>delivered</t>
        </is>
      </c>
      <c r="H60" t="inlineStr">
        <is>
          <t>1Z1346078411</t>
        </is>
      </c>
    </row>
    <row r="61">
      <c r="A61" t="inlineStr">
        <is>
          <t>GU-1099</t>
        </is>
      </c>
      <c r="B61">
        <f>TEXT(TODAY()-7+TIME(20,44,0),"yyyy-mm-dd hh:mm")</f>
        <v/>
      </c>
      <c r="C61" t="inlineStr">
        <is>
          <t>Ava Rossi</t>
        </is>
      </c>
      <c r="D61" t="inlineStr">
        <is>
          <t>ava.rossi@example.com</t>
        </is>
      </c>
      <c r="E61" t="inlineStr"/>
      <c r="F61" t="n">
        <v>278</v>
      </c>
      <c r="G61" t="inlineStr">
        <is>
          <t>delivered</t>
        </is>
      </c>
      <c r="H61" t="inlineStr">
        <is>
          <t>1Z7076811348</t>
        </is>
      </c>
    </row>
    <row r="62">
      <c r="A62" t="inlineStr">
        <is>
          <t>GU-1100</t>
        </is>
      </c>
      <c r="B62">
        <f>TEXT(TODAY()-6+TIME(11,53,0),"yyyy-mm-dd hh:mm")</f>
        <v/>
      </c>
      <c r="C62" t="inlineStr">
        <is>
          <t>Jack Dubois</t>
        </is>
      </c>
      <c r="D62" t="inlineStr">
        <is>
          <t>jack.dubois@example.com</t>
        </is>
      </c>
      <c r="E62" t="inlineStr"/>
      <c r="F62" t="n">
        <v>337</v>
      </c>
      <c r="G62" t="inlineStr">
        <is>
          <t>shipped</t>
        </is>
      </c>
      <c r="H62" t="inlineStr">
        <is>
          <t>1Z3048612358</t>
        </is>
      </c>
    </row>
    <row r="63">
      <c r="A63" t="inlineStr">
        <is>
          <t>GU-1101</t>
        </is>
      </c>
      <c r="B63">
        <f>TEXT(TODAY()-6+TIME(14,3,0),"yyyy-mm-dd hh:mm")</f>
        <v/>
      </c>
      <c r="C63" t="inlineStr">
        <is>
          <t>Leo Kowalski</t>
        </is>
      </c>
      <c r="D63" t="inlineStr">
        <is>
          <t>leo.kowalski@example.com</t>
        </is>
      </c>
      <c r="E63" t="inlineStr"/>
      <c r="F63" t="n">
        <v>301</v>
      </c>
      <c r="G63" t="inlineStr">
        <is>
          <t>shipped</t>
        </is>
      </c>
      <c r="H63" t="inlineStr">
        <is>
          <t>1Z4856070374</t>
        </is>
      </c>
    </row>
    <row r="64">
      <c r="A64" t="inlineStr">
        <is>
          <t>GU-1102</t>
        </is>
      </c>
      <c r="B64">
        <f>TEXT(TODAY()-6+TIME(16,29,0),"yyyy-mm-dd hh:mm")</f>
        <v/>
      </c>
      <c r="C64" t="inlineStr">
        <is>
          <t>Owen Rossi</t>
        </is>
      </c>
      <c r="D64" t="inlineStr">
        <is>
          <t>owen.rossi@example.com</t>
        </is>
      </c>
      <c r="E64" t="inlineStr"/>
      <c r="F64" t="n">
        <v>68</v>
      </c>
      <c r="G64" t="inlineStr">
        <is>
          <t>shipped</t>
        </is>
      </c>
      <c r="H64" t="inlineStr">
        <is>
          <t>1Z1116402431</t>
        </is>
      </c>
    </row>
    <row r="65">
      <c r="A65" t="inlineStr">
        <is>
          <t>GU-1103</t>
        </is>
      </c>
      <c r="B65">
        <f>TEXT(TODAY()-5+TIME(8,16,0),"yyyy-mm-dd hh:mm")</f>
        <v/>
      </c>
      <c r="C65" t="inlineStr">
        <is>
          <t>Mia Novak</t>
        </is>
      </c>
      <c r="D65" t="inlineStr">
        <is>
          <t>mia.novak@example.com</t>
        </is>
      </c>
      <c r="E65" t="inlineStr"/>
      <c r="F65" t="n">
        <v>278</v>
      </c>
      <c r="G65" t="inlineStr">
        <is>
          <t>shipped</t>
        </is>
      </c>
      <c r="H65" t="inlineStr">
        <is>
          <t>1Z7105574449</t>
        </is>
      </c>
    </row>
    <row r="66">
      <c r="A66" t="inlineStr">
        <is>
          <t>GU-1104</t>
        </is>
      </c>
      <c r="B66">
        <f>TEXT(TODAY()-5+TIME(10,55,0),"yyyy-mm-dd hh:mm")</f>
        <v/>
      </c>
      <c r="C66" t="inlineStr">
        <is>
          <t>Olivia Novak</t>
        </is>
      </c>
      <c r="D66" t="inlineStr">
        <is>
          <t>olivia.novak@example.com</t>
        </is>
      </c>
      <c r="E66" t="inlineStr"/>
      <c r="F66" t="n">
        <v>229</v>
      </c>
      <c r="G66" t="inlineStr">
        <is>
          <t>shipped</t>
        </is>
      </c>
      <c r="H66" t="inlineStr">
        <is>
          <t>1Z9383431259</t>
        </is>
      </c>
    </row>
    <row r="67">
      <c r="A67" t="inlineStr">
        <is>
          <t>GU-1105</t>
        </is>
      </c>
      <c r="B67">
        <f>TEXT(TODAY()-5+TIME(14,20,0),"yyyy-mm-dd hh:mm")</f>
        <v/>
      </c>
      <c r="C67" t="inlineStr">
        <is>
          <t>Ethan Garcia</t>
        </is>
      </c>
      <c r="D67" t="inlineStr">
        <is>
          <t>ethan.garcia@example.com</t>
        </is>
      </c>
      <c r="E67" t="inlineStr"/>
      <c r="F67" t="n">
        <v>307</v>
      </c>
      <c r="G67" t="inlineStr">
        <is>
          <t>shipped</t>
        </is>
      </c>
      <c r="H67" t="inlineStr">
        <is>
          <t>1Z4604460472</t>
        </is>
      </c>
    </row>
    <row r="68">
      <c r="A68" t="inlineStr">
        <is>
          <t>GU-1106</t>
        </is>
      </c>
      <c r="B68">
        <f>TEXT(TODAY()-5+TIME(15,11,0),"yyyy-mm-dd hh:mm")</f>
        <v/>
      </c>
      <c r="C68" t="inlineStr">
        <is>
          <t>Adam Muller</t>
        </is>
      </c>
      <c r="D68" t="inlineStr">
        <is>
          <t>adam.muller@example.com</t>
        </is>
      </c>
      <c r="E68" t="inlineStr"/>
      <c r="F68" t="n">
        <v>249</v>
      </c>
      <c r="G68" t="inlineStr">
        <is>
          <t>shipped</t>
        </is>
      </c>
      <c r="H68" t="inlineStr">
        <is>
          <t>1Z5070585433</t>
        </is>
      </c>
    </row>
    <row r="69">
      <c r="A69" t="inlineStr">
        <is>
          <t>GU-1107</t>
        </is>
      </c>
      <c r="B69">
        <f>TEXT(TODAY()-4+TIME(10,38,0),"yyyy-mm-dd hh:mm")</f>
        <v/>
      </c>
      <c r="C69" t="inlineStr">
        <is>
          <t>Noah Muller</t>
        </is>
      </c>
      <c r="D69" t="inlineStr">
        <is>
          <t>noah.muller@example.com</t>
        </is>
      </c>
      <c r="E69" t="inlineStr"/>
      <c r="F69" t="n">
        <v>178</v>
      </c>
      <c r="G69" t="inlineStr">
        <is>
          <t>shipped</t>
        </is>
      </c>
      <c r="H69" t="inlineStr">
        <is>
          <t>1Z9410288290</t>
        </is>
      </c>
    </row>
    <row r="70">
      <c r="A70" t="inlineStr">
        <is>
          <t>GU-1108</t>
        </is>
      </c>
      <c r="B70">
        <f>TEXT(TODAY()-4+TIME(17,47,0),"yyyy-mm-dd hh:mm")</f>
        <v/>
      </c>
      <c r="C70" t="inlineStr">
        <is>
          <t>Grace Rossi</t>
        </is>
      </c>
      <c r="D70" t="inlineStr">
        <is>
          <t>grace.rossi@example.com</t>
        </is>
      </c>
      <c r="E70" t="inlineStr"/>
      <c r="F70" t="n">
        <v>99</v>
      </c>
      <c r="G70" t="inlineStr">
        <is>
          <t>shipped</t>
        </is>
      </c>
      <c r="H70" t="inlineStr">
        <is>
          <t>1Z3693985578</t>
        </is>
      </c>
    </row>
    <row r="71">
      <c r="A71" t="inlineStr">
        <is>
          <t>GU-1109</t>
        </is>
      </c>
      <c r="B71">
        <f>TEXT(TODAY()-4+TIME(19,16,0),"yyyy-mm-dd hh:mm")</f>
        <v/>
      </c>
      <c r="C71" t="inlineStr">
        <is>
          <t>Noah Kowalski</t>
        </is>
      </c>
      <c r="D71" t="inlineStr">
        <is>
          <t>noah.kowalski@example.com</t>
        </is>
      </c>
      <c r="E71" t="inlineStr"/>
      <c r="F71" t="n">
        <v>348</v>
      </c>
      <c r="G71" t="inlineStr">
        <is>
          <t>shipped</t>
        </is>
      </c>
      <c r="H71" t="inlineStr">
        <is>
          <t>1Z7583090712</t>
        </is>
      </c>
    </row>
    <row r="72">
      <c r="A72" t="inlineStr">
        <is>
          <t>GU-1110</t>
        </is>
      </c>
      <c r="B72">
        <f>TEXT(TODAY()-4+TIME(20,23,0),"yyyy-mm-dd hh:mm")</f>
        <v/>
      </c>
      <c r="C72" t="inlineStr">
        <is>
          <t>Leo Garcia</t>
        </is>
      </c>
      <c r="D72" t="inlineStr">
        <is>
          <t>leo.garcia@example.com</t>
        </is>
      </c>
      <c r="E72" t="inlineStr"/>
      <c r="F72" t="n">
        <v>266</v>
      </c>
      <c r="G72" t="inlineStr">
        <is>
          <t>shipped</t>
        </is>
      </c>
      <c r="H72" t="inlineStr">
        <is>
          <t>1Z5748253283</t>
        </is>
      </c>
    </row>
    <row r="73">
      <c r="A73" t="inlineStr">
        <is>
          <t>GU-1111</t>
        </is>
      </c>
      <c r="B73">
        <f>TEXT(TODAY()-3+TIME(18,57,0),"yyyy-mm-dd hh:mm")</f>
        <v/>
      </c>
      <c r="C73" t="inlineStr">
        <is>
          <t>Jack Muller</t>
        </is>
      </c>
      <c r="D73" t="inlineStr">
        <is>
          <t>jack.muller@example.com</t>
        </is>
      </c>
      <c r="E73" t="inlineStr"/>
      <c r="F73" t="n">
        <v>445</v>
      </c>
      <c r="G73" t="inlineStr">
        <is>
          <t>shipped</t>
        </is>
      </c>
      <c r="H73" t="inlineStr">
        <is>
          <t>1Z6447717367</t>
        </is>
      </c>
    </row>
    <row r="74">
      <c r="A74" t="inlineStr">
        <is>
          <t>GU-1112</t>
        </is>
      </c>
      <c r="B74">
        <f>TEXT(TODAY()-3+TIME(19,9,0),"yyyy-mm-dd hh:mm")</f>
        <v/>
      </c>
      <c r="C74" t="inlineStr">
        <is>
          <t>Ethan Garcia</t>
        </is>
      </c>
      <c r="D74" t="inlineStr">
        <is>
          <t>ethan.garcia@example.com</t>
        </is>
      </c>
      <c r="E74" t="inlineStr"/>
      <c r="F74" t="n">
        <v>165</v>
      </c>
      <c r="G74" t="inlineStr">
        <is>
          <t>shipped</t>
        </is>
      </c>
      <c r="H74" t="inlineStr">
        <is>
          <t>1Z6922713963</t>
        </is>
      </c>
    </row>
    <row r="75">
      <c r="A75" t="inlineStr">
        <is>
          <t>GU-1113</t>
        </is>
      </c>
      <c r="B75">
        <f>TEXT(TODAY()-3+TIME(21,29,0),"yyyy-mm-dd hh:mm")</f>
        <v/>
      </c>
      <c r="C75" t="inlineStr">
        <is>
          <t>Emma Novak</t>
        </is>
      </c>
      <c r="D75" t="inlineStr">
        <is>
          <t>emma.novak@example.com</t>
        </is>
      </c>
      <c r="E75" t="inlineStr"/>
      <c r="F75" t="n">
        <v>141</v>
      </c>
      <c r="G75" t="inlineStr">
        <is>
          <t>shipped</t>
        </is>
      </c>
      <c r="H75" t="inlineStr">
        <is>
          <t>1Z6404582459</t>
        </is>
      </c>
    </row>
    <row r="76">
      <c r="A76" t="inlineStr">
        <is>
          <t>GU-1114</t>
        </is>
      </c>
      <c r="B76">
        <f>TEXT(TODAY()-2+TIME(12,35,0),"yyyy-mm-dd hh:mm")</f>
        <v/>
      </c>
      <c r="C76" t="inlineStr">
        <is>
          <t>Emma Silva</t>
        </is>
      </c>
      <c r="D76" t="inlineStr">
        <is>
          <t>emma.silva@example.com</t>
        </is>
      </c>
      <c r="E76" t="inlineStr"/>
      <c r="F76" t="n">
        <v>59</v>
      </c>
      <c r="G76" t="inlineStr">
        <is>
          <t>shipped</t>
        </is>
      </c>
      <c r="H76" t="inlineStr">
        <is>
          <t>1Z8387664437</t>
        </is>
      </c>
    </row>
    <row r="77">
      <c r="A77" t="inlineStr">
        <is>
          <t>GU-1115</t>
        </is>
      </c>
      <c r="B77">
        <f>TEXT(TODAY()-2+TIME(19,56,0),"yyyy-mm-dd hh:mm")</f>
        <v/>
      </c>
      <c r="C77" t="inlineStr">
        <is>
          <t>Owen Silva</t>
        </is>
      </c>
      <c r="D77" t="inlineStr">
        <is>
          <t>owen.silva@example.com</t>
        </is>
      </c>
      <c r="E77" t="inlineStr"/>
      <c r="F77" t="n">
        <v>66</v>
      </c>
      <c r="G77" t="inlineStr">
        <is>
          <t>shipped</t>
        </is>
      </c>
      <c r="H77" t="inlineStr">
        <is>
          <t>1Z8352307139</t>
        </is>
      </c>
    </row>
    <row r="78">
      <c r="A78" t="inlineStr">
        <is>
          <t>GU-1116</t>
        </is>
      </c>
      <c r="B78">
        <f>TEXT(TODAY()-2+TIME(22,38,0),"yyyy-mm-dd hh:mm")</f>
        <v/>
      </c>
      <c r="C78" t="inlineStr">
        <is>
          <t>Isla Smith</t>
        </is>
      </c>
      <c r="D78" t="inlineStr">
        <is>
          <t>isla.smith@example.com</t>
        </is>
      </c>
      <c r="E78" t="inlineStr"/>
      <c r="F78" t="n">
        <v>25</v>
      </c>
      <c r="G78" t="inlineStr">
        <is>
          <t>shipped</t>
        </is>
      </c>
      <c r="H78" t="inlineStr">
        <is>
          <t>1Z6339955011</t>
        </is>
      </c>
    </row>
    <row r="79">
      <c r="A79" t="inlineStr">
        <is>
          <t>GU-1117</t>
        </is>
      </c>
      <c r="B79">
        <f>TEXT(TODAY()-1+TIME(13,27,0),"yyyy-mm-dd hh:mm")</f>
        <v/>
      </c>
      <c r="C79" t="inlineStr">
        <is>
          <t>Chloe Brown</t>
        </is>
      </c>
      <c r="D79" t="inlineStr">
        <is>
          <t>chloe.brown@example.com</t>
        </is>
      </c>
      <c r="E79" t="inlineStr"/>
      <c r="F79" t="n">
        <v>132</v>
      </c>
      <c r="G79" t="inlineStr">
        <is>
          <t>processing</t>
        </is>
      </c>
      <c r="H79" t="inlineStr"/>
    </row>
    <row r="80">
      <c r="A80" t="inlineStr">
        <is>
          <t>GU-1118</t>
        </is>
      </c>
      <c r="B80">
        <f>TEXT(TODAY()-1+TIME(13,30,0),"yyyy-mm-dd hh:mm")</f>
        <v/>
      </c>
      <c r="C80" t="inlineStr">
        <is>
          <t>Mia Brown</t>
        </is>
      </c>
      <c r="D80" t="inlineStr">
        <is>
          <t>mia.brown@example.com</t>
        </is>
      </c>
      <c r="E80" t="inlineStr"/>
      <c r="F80" t="n">
        <v>229</v>
      </c>
      <c r="G80" t="inlineStr">
        <is>
          <t>processing</t>
        </is>
      </c>
      <c r="H80" t="inlineStr"/>
    </row>
    <row r="81">
      <c r="A81" t="inlineStr">
        <is>
          <t>GU-1119</t>
        </is>
      </c>
      <c r="B81">
        <f>TEXT(TODAY()-1+TIME(16,33,0),"yyyy-mm-dd hh:mm")</f>
        <v/>
      </c>
      <c r="C81" t="inlineStr">
        <is>
          <t>Lucas Rossi</t>
        </is>
      </c>
      <c r="D81" t="inlineStr">
        <is>
          <t>lucas.rossi@example.com</t>
        </is>
      </c>
      <c r="E81" t="inlineStr"/>
      <c r="F81" t="n">
        <v>44</v>
      </c>
      <c r="G81" t="inlineStr">
        <is>
          <t>processing</t>
        </is>
      </c>
      <c r="H81" t="inlineStr"/>
    </row>
    <row r="82">
      <c r="A82" t="inlineStr">
        <is>
          <t>GU-1120</t>
        </is>
      </c>
      <c r="B82">
        <f>TEXT(TODAY()-1+TIME(18,37,0),"yyyy-mm-dd hh:mm")</f>
        <v/>
      </c>
      <c r="C82" t="inlineStr">
        <is>
          <t>Zoe Silva</t>
        </is>
      </c>
      <c r="D82" t="inlineStr">
        <is>
          <t>zoe.silva@example.com</t>
        </is>
      </c>
      <c r="E82" t="inlineStr"/>
      <c r="F82" t="n">
        <v>158</v>
      </c>
      <c r="G82" t="inlineStr">
        <is>
          <t>processing</t>
        </is>
      </c>
      <c r="H82" t="inlineStr"/>
    </row>
    <row r="83">
      <c r="A83" t="inlineStr">
        <is>
          <t>GU-1121</t>
        </is>
      </c>
      <c r="B83">
        <f>TEXT(TODAY()-1+TIME(19,35,0),"yyyy-mm-dd hh:mm")</f>
        <v/>
      </c>
      <c r="C83" t="inlineStr">
        <is>
          <t>Leo Muller</t>
        </is>
      </c>
      <c r="D83" t="inlineStr">
        <is>
          <t>leo.muller@example.com</t>
        </is>
      </c>
      <c r="E83" t="inlineStr"/>
      <c r="F83" t="n">
        <v>318</v>
      </c>
      <c r="G83" t="inlineStr">
        <is>
          <t>processing</t>
        </is>
      </c>
      <c r="H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4" customWidth="1" min="3" max="3"/>
    <col width="30" customWidth="1" min="4" max="4"/>
    <col width="10" customWidth="1" min="5" max="5"/>
    <col width="10" customWidth="1" min="6" max="6"/>
  </cols>
  <sheetData>
    <row r="1">
      <c r="A1" s="1" t="inlineStr">
        <is>
          <t>order_id</t>
        </is>
      </c>
      <c r="B1" s="1" t="inlineStr">
        <is>
          <t>created_at</t>
        </is>
      </c>
      <c r="C1" s="1" t="inlineStr">
        <is>
          <t>sku</t>
        </is>
      </c>
      <c r="D1" s="1" t="inlineStr">
        <is>
          <t>name</t>
        </is>
      </c>
      <c r="E1" s="1" t="inlineStr">
        <is>
          <t>qty</t>
        </is>
      </c>
      <c r="F1" s="1" t="inlineStr">
        <is>
          <t>price</t>
        </is>
      </c>
    </row>
    <row r="2">
      <c r="A2" t="inlineStr">
        <is>
          <t>GU-1040</t>
        </is>
      </c>
      <c r="B2">
        <f>TEXT(TODAY()-29+TIME(8,47,0),"yyyy-mm-dd hh:mm")</f>
        <v/>
      </c>
      <c r="C2" t="inlineStr">
        <is>
          <t>GU-BAR-20</t>
        </is>
      </c>
      <c r="D2" t="inlineStr">
        <is>
          <t>Olympic Barbell 20 kg</t>
        </is>
      </c>
      <c r="E2" t="n">
        <v>1</v>
      </c>
      <c r="F2" t="n">
        <v>249</v>
      </c>
    </row>
    <row r="3">
      <c r="A3" t="inlineStr">
        <is>
          <t>GU-1041</t>
        </is>
      </c>
      <c r="B3">
        <f>TEXT(TODAY()-28+TIME(17,27,0),"yyyy-mm-dd hh:mm")</f>
        <v/>
      </c>
      <c r="C3" t="inlineStr">
        <is>
          <t>GU-BAND-SET</t>
        </is>
      </c>
      <c r="D3" t="inlineStr">
        <is>
          <t>Resistance Bands Set (5 pcs)</t>
        </is>
      </c>
      <c r="E3" t="n">
        <v>1</v>
      </c>
      <c r="F3" t="n">
        <v>29</v>
      </c>
    </row>
    <row r="4">
      <c r="A4" t="inlineStr">
        <is>
          <t>GU-1042</t>
        </is>
      </c>
      <c r="B4">
        <f>TEXT(TODAY()-27+TIME(19,34,0),"yyyy-mm-dd hh:mm")</f>
        <v/>
      </c>
      <c r="C4" t="inlineStr">
        <is>
          <t>GU-TRX-PRO</t>
        </is>
      </c>
      <c r="D4" t="inlineStr">
        <is>
          <t>Suspension Trainer Pro</t>
        </is>
      </c>
      <c r="E4" t="n">
        <v>1</v>
      </c>
      <c r="F4" t="n">
        <v>99</v>
      </c>
    </row>
    <row r="5">
      <c r="A5" t="inlineStr">
        <is>
          <t>GU-1042</t>
        </is>
      </c>
      <c r="B5">
        <f>TEXT(TODAY()-27+TIME(19,34,0),"yyyy-mm-dd hh:mm")</f>
        <v/>
      </c>
      <c r="C5" t="inlineStr">
        <is>
          <t>GU-MAT-ECO</t>
        </is>
      </c>
      <c r="D5" t="inlineStr">
        <is>
          <t>Eco Cork Yoga Mat</t>
        </is>
      </c>
      <c r="E5" t="n">
        <v>1</v>
      </c>
      <c r="F5" t="n">
        <v>59</v>
      </c>
    </row>
    <row r="6">
      <c r="A6" t="inlineStr">
        <is>
          <t>GU-1043</t>
        </is>
      </c>
      <c r="B6">
        <f>TEXT(TODAY()-27+TIME(19,41,0),"yyyy-mm-dd hh:mm")</f>
        <v/>
      </c>
      <c r="C6" t="inlineStr">
        <is>
          <t>GU-MGUN-1</t>
        </is>
      </c>
      <c r="D6" t="inlineStr">
        <is>
          <t>Massage Gun Pulse</t>
        </is>
      </c>
      <c r="E6" t="n">
        <v>1</v>
      </c>
      <c r="F6" t="n">
        <v>129</v>
      </c>
    </row>
    <row r="7">
      <c r="A7" t="inlineStr">
        <is>
          <t>GU-1044</t>
        </is>
      </c>
      <c r="B7">
        <f>TEXT(TODAY()-26+TIME(9,22,0),"yyyy-mm-dd hh:mm")</f>
        <v/>
      </c>
      <c r="C7" t="inlineStr">
        <is>
          <t>GU-BOX-3IN1</t>
        </is>
      </c>
      <c r="D7" t="inlineStr">
        <is>
          <t>Plyo Box 3-in-1</t>
        </is>
      </c>
      <c r="E7" t="n">
        <v>1</v>
      </c>
      <c r="F7" t="n">
        <v>149</v>
      </c>
    </row>
    <row r="8">
      <c r="A8" t="inlineStr">
        <is>
          <t>GU-1045</t>
        </is>
      </c>
      <c r="B8">
        <f>TEXT(TODAY()-26+TIME(17,16,0),"yyyy-mm-dd hh:mm")</f>
        <v/>
      </c>
      <c r="C8" t="inlineStr">
        <is>
          <t>GU-TRX-PRO</t>
        </is>
      </c>
      <c r="D8" t="inlineStr">
        <is>
          <t>Suspension Trainer Pro</t>
        </is>
      </c>
      <c r="E8" t="n">
        <v>1</v>
      </c>
      <c r="F8" t="n">
        <v>99</v>
      </c>
    </row>
    <row r="9">
      <c r="A9" t="inlineStr">
        <is>
          <t>GU-1045</t>
        </is>
      </c>
      <c r="B9">
        <f>TEXT(TODAY()-26+TIME(17,16,0),"yyyy-mm-dd hh:mm")</f>
        <v/>
      </c>
      <c r="C9" t="inlineStr">
        <is>
          <t>GU-BAND-SET</t>
        </is>
      </c>
      <c r="D9" t="inlineStr">
        <is>
          <t>Resistance Bands Set (5 pcs)</t>
        </is>
      </c>
      <c r="E9" t="n">
        <v>3</v>
      </c>
      <c r="F9" t="n">
        <v>29</v>
      </c>
    </row>
    <row r="10">
      <c r="A10" t="inlineStr">
        <is>
          <t>GU-1046</t>
        </is>
      </c>
      <c r="B10">
        <f>TEXT(TODAY()-26+TIME(20,2,0),"yyyy-mm-dd hh:mm")</f>
        <v/>
      </c>
      <c r="C10" t="inlineStr">
        <is>
          <t>GU-MAT-PRO</t>
        </is>
      </c>
      <c r="D10" t="inlineStr">
        <is>
          <t>Pro Yoga Mat 6 mm</t>
        </is>
      </c>
      <c r="E10" t="n">
        <v>1</v>
      </c>
      <c r="F10" t="n">
        <v>39</v>
      </c>
    </row>
    <row r="11">
      <c r="A11" t="inlineStr">
        <is>
          <t>GU-1047</t>
        </is>
      </c>
      <c r="B11">
        <f>TEXT(TODAY()-26+TIME(21,22,0),"yyyy-mm-dd hh:mm")</f>
        <v/>
      </c>
      <c r="C11" t="inlineStr">
        <is>
          <t>GU-ROPE-SPD</t>
        </is>
      </c>
      <c r="D11" t="inlineStr">
        <is>
          <t>Speed Jump Rope</t>
        </is>
      </c>
      <c r="E11" t="n">
        <v>2</v>
      </c>
      <c r="F11" t="n">
        <v>19</v>
      </c>
    </row>
    <row r="12">
      <c r="A12" t="inlineStr">
        <is>
          <t>GU-1048</t>
        </is>
      </c>
      <c r="B12">
        <f>TEXT(TODAY()-25+TIME(11,10,0),"yyyy-mm-dd hh:mm")</f>
        <v/>
      </c>
      <c r="C12" t="inlineStr">
        <is>
          <t>GU-BENCH-ADJ</t>
        </is>
      </c>
      <c r="D12" t="inlineStr">
        <is>
          <t>Adjustable Bench</t>
        </is>
      </c>
      <c r="E12" t="n">
        <v>1</v>
      </c>
      <c r="F12" t="n">
        <v>229</v>
      </c>
    </row>
    <row r="13">
      <c r="A13" t="inlineStr">
        <is>
          <t>GU-1048</t>
        </is>
      </c>
      <c r="B13">
        <f>TEXT(TODAY()-25+TIME(11,10,0),"yyyy-mm-dd hh:mm")</f>
        <v/>
      </c>
      <c r="C13" t="inlineStr">
        <is>
          <t>GU-MAT-PRO</t>
        </is>
      </c>
      <c r="D13" t="inlineStr">
        <is>
          <t>Pro Yoga Mat 6 mm</t>
        </is>
      </c>
      <c r="E13" t="n">
        <v>3</v>
      </c>
      <c r="F13" t="n">
        <v>39</v>
      </c>
    </row>
    <row r="14">
      <c r="A14" t="inlineStr">
        <is>
          <t>GU-1049</t>
        </is>
      </c>
      <c r="B14">
        <f>TEXT(TODAY()-25+TIME(16,46,0),"yyyy-mm-dd hh:mm")</f>
        <v/>
      </c>
      <c r="C14" t="inlineStr">
        <is>
          <t>GU-MAT-ECO</t>
        </is>
      </c>
      <c r="D14" t="inlineStr">
        <is>
          <t>Eco Cork Yoga Mat</t>
        </is>
      </c>
      <c r="E14" t="n">
        <v>1</v>
      </c>
      <c r="F14" t="n">
        <v>59</v>
      </c>
    </row>
    <row r="15">
      <c r="A15" t="inlineStr">
        <is>
          <t>GU-1049</t>
        </is>
      </c>
      <c r="B15">
        <f>TEXT(TODAY()-25+TIME(16,46,0),"yyyy-mm-dd hh:mm")</f>
        <v/>
      </c>
      <c r="C15" t="inlineStr">
        <is>
          <t>GU-KB-16</t>
        </is>
      </c>
      <c r="D15" t="inlineStr">
        <is>
          <t>Cast Iron Kettlebell 16 kg</t>
        </is>
      </c>
      <c r="E15" t="n">
        <v>3</v>
      </c>
      <c r="F15" t="n">
        <v>59</v>
      </c>
    </row>
    <row r="16">
      <c r="A16" t="inlineStr">
        <is>
          <t>GU-1050</t>
        </is>
      </c>
      <c r="B16">
        <f>TEXT(TODAY()-24+TIME(12,8,0),"yyyy-mm-dd hh:mm")</f>
        <v/>
      </c>
      <c r="C16" t="inlineStr">
        <is>
          <t>GU-MAT-ECO</t>
        </is>
      </c>
      <c r="D16" t="inlineStr">
        <is>
          <t>Eco Cork Yoga Mat</t>
        </is>
      </c>
      <c r="E16" t="n">
        <v>3</v>
      </c>
      <c r="F16" t="n">
        <v>59</v>
      </c>
    </row>
    <row r="17">
      <c r="A17" t="inlineStr">
        <is>
          <t>GU-1050</t>
        </is>
      </c>
      <c r="B17">
        <f>TEXT(TODAY()-24+TIME(12,8,0),"yyyy-mm-dd hh:mm")</f>
        <v/>
      </c>
      <c r="C17" t="inlineStr">
        <is>
          <t>GU-TRX-PRO</t>
        </is>
      </c>
      <c r="D17" t="inlineStr">
        <is>
          <t>Suspension Trainer Pro</t>
        </is>
      </c>
      <c r="E17" t="n">
        <v>1</v>
      </c>
      <c r="F17" t="n">
        <v>99</v>
      </c>
    </row>
    <row r="18">
      <c r="A18" t="inlineStr">
        <is>
          <t>GU-1050</t>
        </is>
      </c>
      <c r="B18">
        <f>TEXT(TODAY()-24+TIME(12,8,0),"yyyy-mm-dd hh:mm")</f>
        <v/>
      </c>
      <c r="C18" t="inlineStr">
        <is>
          <t>GU-GLV-M</t>
        </is>
      </c>
      <c r="D18" t="inlineStr">
        <is>
          <t>Training Gloves M</t>
        </is>
      </c>
      <c r="E18" t="n">
        <v>2</v>
      </c>
      <c r="F18" t="n">
        <v>24</v>
      </c>
    </row>
    <row r="19">
      <c r="A19" t="inlineStr">
        <is>
          <t>GU-1051</t>
        </is>
      </c>
      <c r="B19">
        <f>TEXT(TODAY()-24+TIME(14,56,0),"yyyy-mm-dd hh:mm")</f>
        <v/>
      </c>
      <c r="C19" t="inlineStr">
        <is>
          <t>GU-KB-16</t>
        </is>
      </c>
      <c r="D19" t="inlineStr">
        <is>
          <t>Cast Iron Kettlebell 16 kg</t>
        </is>
      </c>
      <c r="E19" t="n">
        <v>1</v>
      </c>
      <c r="F19" t="n">
        <v>59</v>
      </c>
    </row>
    <row r="20">
      <c r="A20" t="inlineStr">
        <is>
          <t>GU-1051</t>
        </is>
      </c>
      <c r="B20">
        <f>TEXT(TODAY()-24+TIME(14,56,0),"yyyy-mm-dd hh:mm")</f>
        <v/>
      </c>
      <c r="C20" t="inlineStr">
        <is>
          <t>GU-DB-24</t>
        </is>
      </c>
      <c r="D20" t="inlineStr">
        <is>
          <t>Adjustable Dumbbell 24 kg</t>
        </is>
      </c>
      <c r="E20" t="n">
        <v>1</v>
      </c>
      <c r="F20" t="n">
        <v>179</v>
      </c>
    </row>
    <row r="21">
      <c r="A21" t="inlineStr">
        <is>
          <t>GU-1052</t>
        </is>
      </c>
      <c r="B21">
        <f>TEXT(TODAY()-24+TIME(15,9,0),"yyyy-mm-dd hh:mm")</f>
        <v/>
      </c>
      <c r="C21" t="inlineStr">
        <is>
          <t>GU-BOX-3IN1</t>
        </is>
      </c>
      <c r="D21" t="inlineStr">
        <is>
          <t>Plyo Box 3-in-1</t>
        </is>
      </c>
      <c r="E21" t="n">
        <v>1</v>
      </c>
      <c r="F21" t="n">
        <v>149</v>
      </c>
    </row>
    <row r="22">
      <c r="A22" t="inlineStr">
        <is>
          <t>GU-1052</t>
        </is>
      </c>
      <c r="B22">
        <f>TEXT(TODAY()-24+TIME(15,9,0),"yyyy-mm-dd hh:mm")</f>
        <v/>
      </c>
      <c r="C22" t="inlineStr">
        <is>
          <t>GU-GLV-L</t>
        </is>
      </c>
      <c r="D22" t="inlineStr">
        <is>
          <t>Training Gloves L</t>
        </is>
      </c>
      <c r="E22" t="n">
        <v>3</v>
      </c>
      <c r="F22" t="n">
        <v>24</v>
      </c>
    </row>
    <row r="23">
      <c r="A23" t="inlineStr">
        <is>
          <t>GU-1053</t>
        </is>
      </c>
      <c r="B23">
        <f>TEXT(TODAY()-24+TIME(22,41,0),"yyyy-mm-dd hh:mm")</f>
        <v/>
      </c>
      <c r="C23" t="inlineStr">
        <is>
          <t>GU-MGUN-1</t>
        </is>
      </c>
      <c r="D23" t="inlineStr">
        <is>
          <t>Massage Gun Pulse</t>
        </is>
      </c>
      <c r="E23" t="n">
        <v>1</v>
      </c>
      <c r="F23" t="n">
        <v>129</v>
      </c>
    </row>
    <row r="24">
      <c r="A24" t="inlineStr">
        <is>
          <t>GU-1053</t>
        </is>
      </c>
      <c r="B24">
        <f>TEXT(TODAY()-24+TIME(22,41,0),"yyyy-mm-dd hh:mm")</f>
        <v/>
      </c>
      <c r="C24" t="inlineStr">
        <is>
          <t>GU-KB-24</t>
        </is>
      </c>
      <c r="D24" t="inlineStr">
        <is>
          <t>Cast Iron Kettlebell 24 kg</t>
        </is>
      </c>
      <c r="E24" t="n">
        <v>1</v>
      </c>
      <c r="F24" t="n">
        <v>79</v>
      </c>
    </row>
    <row r="25">
      <c r="A25" t="inlineStr">
        <is>
          <t>GU-1054</t>
        </is>
      </c>
      <c r="B25">
        <f>TEXT(TODAY()-23+TIME(15,0,0),"yyyy-mm-dd hh:mm")</f>
        <v/>
      </c>
      <c r="C25" t="inlineStr">
        <is>
          <t>GU-BAG-DUF</t>
        </is>
      </c>
      <c r="D25" t="inlineStr">
        <is>
          <t>Gym Duffel Bag 40 L</t>
        </is>
      </c>
      <c r="E25" t="n">
        <v>1</v>
      </c>
      <c r="F25" t="n">
        <v>49</v>
      </c>
    </row>
    <row r="26">
      <c r="A26" t="inlineStr">
        <is>
          <t>GU-1055</t>
        </is>
      </c>
      <c r="B26">
        <f>TEXT(TODAY()-23+TIME(19,56,0),"yyyy-mm-dd hh:mm")</f>
        <v/>
      </c>
      <c r="C26" t="inlineStr">
        <is>
          <t>GU-BENCH-ADJ</t>
        </is>
      </c>
      <c r="D26" t="inlineStr">
        <is>
          <t>Adjustable Bench</t>
        </is>
      </c>
      <c r="E26" t="n">
        <v>1</v>
      </c>
      <c r="F26" t="n">
        <v>229</v>
      </c>
    </row>
    <row r="27">
      <c r="A27" t="inlineStr">
        <is>
          <t>GU-1056</t>
        </is>
      </c>
      <c r="B27">
        <f>TEXT(TODAY()-22+TIME(9,59,0),"yyyy-mm-dd hh:mm")</f>
        <v/>
      </c>
      <c r="C27" t="inlineStr">
        <is>
          <t>GU-MAT-PRO</t>
        </is>
      </c>
      <c r="D27" t="inlineStr">
        <is>
          <t>Pro Yoga Mat 6 mm</t>
        </is>
      </c>
      <c r="E27" t="n">
        <v>3</v>
      </c>
      <c r="F27" t="n">
        <v>39</v>
      </c>
    </row>
    <row r="28">
      <c r="A28" t="inlineStr">
        <is>
          <t>GU-1057</t>
        </is>
      </c>
      <c r="B28">
        <f>TEXT(TODAY()-22+TIME(13,56,0),"yyyy-mm-dd hh:mm")</f>
        <v/>
      </c>
      <c r="C28" t="inlineStr">
        <is>
          <t>GU-BENCH-ADJ</t>
        </is>
      </c>
      <c r="D28" t="inlineStr">
        <is>
          <t>Adjustable Bench</t>
        </is>
      </c>
      <c r="E28" t="n">
        <v>1</v>
      </c>
      <c r="F28" t="n">
        <v>229</v>
      </c>
    </row>
    <row r="29">
      <c r="A29" t="inlineStr">
        <is>
          <t>GU-1058</t>
        </is>
      </c>
      <c r="B29">
        <f>TEXT(TODAY()-22+TIME(15,1,0),"yyyy-mm-dd hh:mm")</f>
        <v/>
      </c>
      <c r="C29" t="inlineStr">
        <is>
          <t>GU-PL-10</t>
        </is>
      </c>
      <c r="D29" t="inlineStr">
        <is>
          <t>Bumper Plate 10 kg (pair)</t>
        </is>
      </c>
      <c r="E29" t="n">
        <v>1</v>
      </c>
      <c r="F29" t="n">
        <v>119</v>
      </c>
    </row>
    <row r="30">
      <c r="A30" t="inlineStr">
        <is>
          <t>GU-1058</t>
        </is>
      </c>
      <c r="B30">
        <f>TEXT(TODAY()-22+TIME(15,1,0),"yyyy-mm-dd hh:mm")</f>
        <v/>
      </c>
      <c r="C30" t="inlineStr">
        <is>
          <t>GU-MAT-ECO</t>
        </is>
      </c>
      <c r="D30" t="inlineStr">
        <is>
          <t>Eco Cork Yoga Mat</t>
        </is>
      </c>
      <c r="E30" t="n">
        <v>3</v>
      </c>
      <c r="F30" t="n">
        <v>59</v>
      </c>
    </row>
    <row r="31">
      <c r="A31" t="inlineStr">
        <is>
          <t>GU-1058</t>
        </is>
      </c>
      <c r="B31">
        <f>TEXT(TODAY()-22+TIME(15,1,0),"yyyy-mm-dd hh:mm")</f>
        <v/>
      </c>
      <c r="C31" t="inlineStr">
        <is>
          <t>GU-BAG-DUF</t>
        </is>
      </c>
      <c r="D31" t="inlineStr">
        <is>
          <t>Gym Duffel Bag 40 L</t>
        </is>
      </c>
      <c r="E31" t="n">
        <v>2</v>
      </c>
      <c r="F31" t="n">
        <v>49</v>
      </c>
    </row>
    <row r="32">
      <c r="A32" t="inlineStr">
        <is>
          <t>GU-1059</t>
        </is>
      </c>
      <c r="B32">
        <f>TEXT(TODAY()-21+TIME(14,42,0),"yyyy-mm-dd hh:mm")</f>
        <v/>
      </c>
      <c r="C32" t="inlineStr">
        <is>
          <t>GU-GLV-L</t>
        </is>
      </c>
      <c r="D32" t="inlineStr">
        <is>
          <t>Training Gloves L</t>
        </is>
      </c>
      <c r="E32" t="n">
        <v>1</v>
      </c>
      <c r="F32" t="n">
        <v>24</v>
      </c>
    </row>
    <row r="33">
      <c r="A33" t="inlineStr">
        <is>
          <t>GU-1059</t>
        </is>
      </c>
      <c r="B33">
        <f>TEXT(TODAY()-21+TIME(14,42,0),"yyyy-mm-dd hh:mm")</f>
        <v/>
      </c>
      <c r="C33" t="inlineStr">
        <is>
          <t>GU-KB-24</t>
        </is>
      </c>
      <c r="D33" t="inlineStr">
        <is>
          <t>Cast Iron Kettlebell 24 kg</t>
        </is>
      </c>
      <c r="E33" t="n">
        <v>1</v>
      </c>
      <c r="F33" t="n">
        <v>79</v>
      </c>
    </row>
    <row r="34">
      <c r="A34" t="inlineStr">
        <is>
          <t>GU-1059</t>
        </is>
      </c>
      <c r="B34">
        <f>TEXT(TODAY()-21+TIME(14,42,0),"yyyy-mm-dd hh:mm")</f>
        <v/>
      </c>
      <c r="C34" t="inlineStr">
        <is>
          <t>GU-MAT-PRO</t>
        </is>
      </c>
      <c r="D34" t="inlineStr">
        <is>
          <t>Pro Yoga Mat 6 mm</t>
        </is>
      </c>
      <c r="E34" t="n">
        <v>1</v>
      </c>
      <c r="F34" t="n">
        <v>39</v>
      </c>
    </row>
    <row r="35">
      <c r="A35" t="inlineStr">
        <is>
          <t>GU-1060</t>
        </is>
      </c>
      <c r="B35">
        <f>TEXT(TODAY()-21+TIME(19,19,0),"yyyy-mm-dd hh:mm")</f>
        <v/>
      </c>
      <c r="C35" t="inlineStr">
        <is>
          <t>GU-TRX-PRO</t>
        </is>
      </c>
      <c r="D35" t="inlineStr">
        <is>
          <t>Suspension Trainer Pro</t>
        </is>
      </c>
      <c r="E35" t="n">
        <v>1</v>
      </c>
      <c r="F35" t="n">
        <v>99</v>
      </c>
    </row>
    <row r="36">
      <c r="A36" t="inlineStr">
        <is>
          <t>GU-1061</t>
        </is>
      </c>
      <c r="B36">
        <f>TEXT(TODAY()-20+TIME(19,40,0),"yyyy-mm-dd hh:mm")</f>
        <v/>
      </c>
      <c r="C36" t="inlineStr">
        <is>
          <t>GU-DB-24</t>
        </is>
      </c>
      <c r="D36" t="inlineStr">
        <is>
          <t>Adjustable Dumbbell 24 kg</t>
        </is>
      </c>
      <c r="E36" t="n">
        <v>1</v>
      </c>
      <c r="F36" t="n">
        <v>179</v>
      </c>
    </row>
    <row r="37">
      <c r="A37" t="inlineStr">
        <is>
          <t>GU-1062</t>
        </is>
      </c>
      <c r="B37">
        <f>TEXT(TODAY()-19+TIME(16,15,0),"yyyy-mm-dd hh:mm")</f>
        <v/>
      </c>
      <c r="C37" t="inlineStr">
        <is>
          <t>GU-BENCH-ADJ</t>
        </is>
      </c>
      <c r="D37" t="inlineStr">
        <is>
          <t>Adjustable Bench</t>
        </is>
      </c>
      <c r="E37" t="n">
        <v>1</v>
      </c>
      <c r="F37" t="n">
        <v>229</v>
      </c>
    </row>
    <row r="38">
      <c r="A38" t="inlineStr">
        <is>
          <t>GU-1063</t>
        </is>
      </c>
      <c r="B38">
        <f>TEXT(TODAY()-18+TIME(9,42,0),"yyyy-mm-dd hh:mm")</f>
        <v/>
      </c>
      <c r="C38" t="inlineStr">
        <is>
          <t>GU-DB-24</t>
        </is>
      </c>
      <c r="D38" t="inlineStr">
        <is>
          <t>Adjustable Dumbbell 24 kg</t>
        </is>
      </c>
      <c r="E38" t="n">
        <v>1</v>
      </c>
      <c r="F38" t="n">
        <v>179</v>
      </c>
    </row>
    <row r="39">
      <c r="A39" t="inlineStr">
        <is>
          <t>GU-1063</t>
        </is>
      </c>
      <c r="B39">
        <f>TEXT(TODAY()-18+TIME(9,42,0),"yyyy-mm-dd hh:mm")</f>
        <v/>
      </c>
      <c r="C39" t="inlineStr">
        <is>
          <t>GU-KB-24</t>
        </is>
      </c>
      <c r="D39" t="inlineStr">
        <is>
          <t>Cast Iron Kettlebell 24 kg</t>
        </is>
      </c>
      <c r="E39" t="n">
        <v>1</v>
      </c>
      <c r="F39" t="n">
        <v>79</v>
      </c>
    </row>
    <row r="40">
      <c r="A40" t="inlineStr">
        <is>
          <t>GU-1064</t>
        </is>
      </c>
      <c r="B40">
        <f>TEXT(TODAY()-18+TIME(11,6,0),"yyyy-mm-dd hh:mm")</f>
        <v/>
      </c>
      <c r="C40" t="inlineStr">
        <is>
          <t>GU-BAND-SET</t>
        </is>
      </c>
      <c r="D40" t="inlineStr">
        <is>
          <t>Resistance Bands Set (5 pcs)</t>
        </is>
      </c>
      <c r="E40" t="n">
        <v>1</v>
      </c>
      <c r="F40" t="n">
        <v>29</v>
      </c>
    </row>
    <row r="41">
      <c r="A41" t="inlineStr">
        <is>
          <t>GU-1065</t>
        </is>
      </c>
      <c r="B41">
        <f>TEXT(TODAY()-18+TIME(14,22,0),"yyyy-mm-dd hh:mm")</f>
        <v/>
      </c>
      <c r="C41" t="inlineStr">
        <is>
          <t>GU-MAT-ECO</t>
        </is>
      </c>
      <c r="D41" t="inlineStr">
        <is>
          <t>Eco Cork Yoga Mat</t>
        </is>
      </c>
      <c r="E41" t="n">
        <v>2</v>
      </c>
      <c r="F41" t="n">
        <v>59</v>
      </c>
    </row>
    <row r="42">
      <c r="A42" t="inlineStr">
        <is>
          <t>GU-1066</t>
        </is>
      </c>
      <c r="B42">
        <f>TEXT(TODAY()-18+TIME(20,26,0),"yyyy-mm-dd hh:mm")</f>
        <v/>
      </c>
      <c r="C42" t="inlineStr">
        <is>
          <t>GU-DB-24</t>
        </is>
      </c>
      <c r="D42" t="inlineStr">
        <is>
          <t>Adjustable Dumbbell 24 kg</t>
        </is>
      </c>
      <c r="E42" t="n">
        <v>1</v>
      </c>
      <c r="F42" t="n">
        <v>179</v>
      </c>
    </row>
    <row r="43">
      <c r="A43" t="inlineStr">
        <is>
          <t>GU-1067</t>
        </is>
      </c>
      <c r="B43">
        <f>TEXT(TODAY()-17+TIME(8,10,0),"yyyy-mm-dd hh:mm")</f>
        <v/>
      </c>
      <c r="C43" t="inlineStr">
        <is>
          <t>GU-MAT-ECO</t>
        </is>
      </c>
      <c r="D43" t="inlineStr">
        <is>
          <t>Eco Cork Yoga Mat</t>
        </is>
      </c>
      <c r="E43" t="n">
        <v>2</v>
      </c>
      <c r="F43" t="n">
        <v>59</v>
      </c>
    </row>
    <row r="44">
      <c r="A44" t="inlineStr">
        <is>
          <t>GU-1067</t>
        </is>
      </c>
      <c r="B44">
        <f>TEXT(TODAY()-17+TIME(8,10,0),"yyyy-mm-dd hh:mm")</f>
        <v/>
      </c>
      <c r="C44" t="inlineStr">
        <is>
          <t>GU-GLV-L</t>
        </is>
      </c>
      <c r="D44" t="inlineStr">
        <is>
          <t>Training Gloves L</t>
        </is>
      </c>
      <c r="E44" t="n">
        <v>2</v>
      </c>
      <c r="F44" t="n">
        <v>24</v>
      </c>
    </row>
    <row r="45">
      <c r="A45" t="inlineStr">
        <is>
          <t>GU-1068</t>
        </is>
      </c>
      <c r="B45">
        <f>TEXT(TODAY()-17+TIME(11,55,0),"yyyy-mm-dd hh:mm")</f>
        <v/>
      </c>
      <c r="C45" t="inlineStr">
        <is>
          <t>GU-DB-24</t>
        </is>
      </c>
      <c r="D45" t="inlineStr">
        <is>
          <t>Adjustable Dumbbell 24 kg</t>
        </is>
      </c>
      <c r="E45" t="n">
        <v>1</v>
      </c>
      <c r="F45" t="n">
        <v>179</v>
      </c>
    </row>
    <row r="46">
      <c r="A46" t="inlineStr">
        <is>
          <t>GU-1069</t>
        </is>
      </c>
      <c r="B46">
        <f>TEXT(TODAY()-17+TIME(14,57,0),"yyyy-mm-dd hh:mm")</f>
        <v/>
      </c>
      <c r="C46" t="inlineStr">
        <is>
          <t>GU-TRX-PRO</t>
        </is>
      </c>
      <c r="D46" t="inlineStr">
        <is>
          <t>Suspension Trainer Pro</t>
        </is>
      </c>
      <c r="E46" t="n">
        <v>1</v>
      </c>
      <c r="F46" t="n">
        <v>99</v>
      </c>
    </row>
    <row r="47">
      <c r="A47" t="inlineStr">
        <is>
          <t>GU-1070</t>
        </is>
      </c>
      <c r="B47">
        <f>TEXT(TODAY()-17+TIME(15,30,0),"yyyy-mm-dd hh:mm")</f>
        <v/>
      </c>
      <c r="C47" t="inlineStr">
        <is>
          <t>GU-PL-10</t>
        </is>
      </c>
      <c r="D47" t="inlineStr">
        <is>
          <t>Bumper Plate 10 kg (pair)</t>
        </is>
      </c>
      <c r="E47" t="n">
        <v>1</v>
      </c>
      <c r="F47" t="n">
        <v>119</v>
      </c>
    </row>
    <row r="48">
      <c r="A48" t="inlineStr">
        <is>
          <t>GU-1071</t>
        </is>
      </c>
      <c r="B48">
        <f>TEXT(TODAY()-16+TIME(18,55,0),"yyyy-mm-dd hh:mm")</f>
        <v/>
      </c>
      <c r="C48" t="inlineStr">
        <is>
          <t>GU-TRX-PRO</t>
        </is>
      </c>
      <c r="D48" t="inlineStr">
        <is>
          <t>Suspension Trainer Pro</t>
        </is>
      </c>
      <c r="E48" t="n">
        <v>1</v>
      </c>
      <c r="F48" t="n">
        <v>99</v>
      </c>
    </row>
    <row r="49">
      <c r="A49" t="inlineStr">
        <is>
          <t>GU-1072</t>
        </is>
      </c>
      <c r="B49">
        <f>TEXT(TODAY()-15+TIME(14,42,0),"yyyy-mm-dd hh:mm")</f>
        <v/>
      </c>
      <c r="C49" t="inlineStr">
        <is>
          <t>GU-MGUN-1</t>
        </is>
      </c>
      <c r="D49" t="inlineStr">
        <is>
          <t>Massage Gun Pulse</t>
        </is>
      </c>
      <c r="E49" t="n">
        <v>1</v>
      </c>
      <c r="F49" t="n">
        <v>129</v>
      </c>
    </row>
    <row r="50">
      <c r="A50" t="inlineStr">
        <is>
          <t>GU-1072</t>
        </is>
      </c>
      <c r="B50">
        <f>TEXT(TODAY()-15+TIME(14,42,0),"yyyy-mm-dd hh:mm")</f>
        <v/>
      </c>
      <c r="C50" t="inlineStr">
        <is>
          <t>GU-MAT-ECO</t>
        </is>
      </c>
      <c r="D50" t="inlineStr">
        <is>
          <t>Eco Cork Yoga Mat</t>
        </is>
      </c>
      <c r="E50" t="n">
        <v>3</v>
      </c>
      <c r="F50" t="n">
        <v>59</v>
      </c>
    </row>
    <row r="51">
      <c r="A51" t="inlineStr">
        <is>
          <t>GU-1072</t>
        </is>
      </c>
      <c r="B51">
        <f>TEXT(TODAY()-15+TIME(14,42,0),"yyyy-mm-dd hh:mm")</f>
        <v/>
      </c>
      <c r="C51" t="inlineStr">
        <is>
          <t>GU-BAND-SET</t>
        </is>
      </c>
      <c r="D51" t="inlineStr">
        <is>
          <t>Resistance Bands Set (5 pcs)</t>
        </is>
      </c>
      <c r="E51" t="n">
        <v>3</v>
      </c>
      <c r="F51" t="n">
        <v>29</v>
      </c>
    </row>
    <row r="52">
      <c r="A52" t="inlineStr">
        <is>
          <t>GU-1073</t>
        </is>
      </c>
      <c r="B52">
        <f>TEXT(TODAY()-14+TIME(12,29,0),"yyyy-mm-dd hh:mm")</f>
        <v/>
      </c>
      <c r="C52" t="inlineStr">
        <is>
          <t>GU-GLV-L</t>
        </is>
      </c>
      <c r="D52" t="inlineStr">
        <is>
          <t>Training Gloves L</t>
        </is>
      </c>
      <c r="E52" t="n">
        <v>3</v>
      </c>
      <c r="F52" t="n">
        <v>24</v>
      </c>
    </row>
    <row r="53">
      <c r="A53" t="inlineStr">
        <is>
          <t>GU-1074</t>
        </is>
      </c>
      <c r="B53">
        <f>TEXT(TODAY()-14+TIME(14,8,0),"yyyy-mm-dd hh:mm")</f>
        <v/>
      </c>
      <c r="C53" t="inlineStr">
        <is>
          <t>GU-BAG-DUF</t>
        </is>
      </c>
      <c r="D53" t="inlineStr">
        <is>
          <t>Gym Duffel Bag 40 L</t>
        </is>
      </c>
      <c r="E53" t="n">
        <v>2</v>
      </c>
      <c r="F53" t="n">
        <v>49</v>
      </c>
    </row>
    <row r="54">
      <c r="A54" t="inlineStr">
        <is>
          <t>GU-1075</t>
        </is>
      </c>
      <c r="B54">
        <f>TEXT(TODAY()-14+TIME(18,41,0),"yyyy-mm-dd hh:mm")</f>
        <v/>
      </c>
      <c r="C54" t="inlineStr">
        <is>
          <t>GU-BENCH-ADJ</t>
        </is>
      </c>
      <c r="D54" t="inlineStr">
        <is>
          <t>Adjustable Bench</t>
        </is>
      </c>
      <c r="E54" t="n">
        <v>1</v>
      </c>
      <c r="F54" t="n">
        <v>229</v>
      </c>
    </row>
    <row r="55">
      <c r="A55" t="inlineStr">
        <is>
          <t>GU-1075</t>
        </is>
      </c>
      <c r="B55">
        <f>TEXT(TODAY()-14+TIME(18,41,0),"yyyy-mm-dd hh:mm")</f>
        <v/>
      </c>
      <c r="C55" t="inlineStr">
        <is>
          <t>GU-ROLL-45</t>
        </is>
      </c>
      <c r="D55" t="inlineStr">
        <is>
          <t>Foam Roller 45 cm</t>
        </is>
      </c>
      <c r="E55" t="n">
        <v>3</v>
      </c>
      <c r="F55" t="n">
        <v>25</v>
      </c>
    </row>
    <row r="56">
      <c r="A56" t="inlineStr">
        <is>
          <t>GU-1076</t>
        </is>
      </c>
      <c r="B56">
        <f>TEXT(TODAY()-13+TIME(9,56,0),"yyyy-mm-dd hh:mm")</f>
        <v/>
      </c>
      <c r="C56" t="inlineStr">
        <is>
          <t>GU-BENCH-ADJ</t>
        </is>
      </c>
      <c r="D56" t="inlineStr">
        <is>
          <t>Adjustable Bench</t>
        </is>
      </c>
      <c r="E56" t="n">
        <v>1</v>
      </c>
      <c r="F56" t="n">
        <v>229</v>
      </c>
    </row>
    <row r="57">
      <c r="A57" t="inlineStr">
        <is>
          <t>GU-1076</t>
        </is>
      </c>
      <c r="B57">
        <f>TEXT(TODAY()-13+TIME(9,56,0),"yyyy-mm-dd hh:mm")</f>
        <v/>
      </c>
      <c r="C57" t="inlineStr">
        <is>
          <t>GU-BAR-20</t>
        </is>
      </c>
      <c r="D57" t="inlineStr">
        <is>
          <t>Olympic Barbell 20 kg</t>
        </is>
      </c>
      <c r="E57" t="n">
        <v>1</v>
      </c>
      <c r="F57" t="n">
        <v>249</v>
      </c>
    </row>
    <row r="58">
      <c r="A58" t="inlineStr">
        <is>
          <t>GU-1076</t>
        </is>
      </c>
      <c r="B58">
        <f>TEXT(TODAY()-13+TIME(9,56,0),"yyyy-mm-dd hh:mm")</f>
        <v/>
      </c>
      <c r="C58" t="inlineStr">
        <is>
          <t>GU-MAT-ECO</t>
        </is>
      </c>
      <c r="D58" t="inlineStr">
        <is>
          <t>Eco Cork Yoga Mat</t>
        </is>
      </c>
      <c r="E58" t="n">
        <v>2</v>
      </c>
      <c r="F58" t="n">
        <v>59</v>
      </c>
    </row>
    <row r="59">
      <c r="A59" t="inlineStr">
        <is>
          <t>GU-1077</t>
        </is>
      </c>
      <c r="B59">
        <f>TEXT(TODAY()-13+TIME(10,16,0),"yyyy-mm-dd hh:mm")</f>
        <v/>
      </c>
      <c r="C59" t="inlineStr">
        <is>
          <t>GU-MAT-ECO</t>
        </is>
      </c>
      <c r="D59" t="inlineStr">
        <is>
          <t>Eco Cork Yoga Mat</t>
        </is>
      </c>
      <c r="E59" t="n">
        <v>2</v>
      </c>
      <c r="F59" t="n">
        <v>59</v>
      </c>
    </row>
    <row r="60">
      <c r="A60" t="inlineStr">
        <is>
          <t>GU-1077</t>
        </is>
      </c>
      <c r="B60">
        <f>TEXT(TODAY()-13+TIME(10,16,0),"yyyy-mm-dd hh:mm")</f>
        <v/>
      </c>
      <c r="C60" t="inlineStr">
        <is>
          <t>GU-BAG-DUF</t>
        </is>
      </c>
      <c r="D60" t="inlineStr">
        <is>
          <t>Gym Duffel Bag 40 L</t>
        </is>
      </c>
      <c r="E60" t="n">
        <v>1</v>
      </c>
      <c r="F60" t="n">
        <v>49</v>
      </c>
    </row>
    <row r="61">
      <c r="A61" t="inlineStr">
        <is>
          <t>GU-1077</t>
        </is>
      </c>
      <c r="B61">
        <f>TEXT(TODAY()-13+TIME(10,16,0),"yyyy-mm-dd hh:mm")</f>
        <v/>
      </c>
      <c r="C61" t="inlineStr">
        <is>
          <t>GU-BTL-1L</t>
        </is>
      </c>
      <c r="D61" t="inlineStr">
        <is>
          <t>Insulated Bottle 1 L</t>
        </is>
      </c>
      <c r="E61" t="n">
        <v>1</v>
      </c>
      <c r="F61" t="n">
        <v>22</v>
      </c>
    </row>
    <row r="62">
      <c r="A62" t="inlineStr">
        <is>
          <t>GU-1078</t>
        </is>
      </c>
      <c r="B62">
        <f>TEXT(TODAY()-13+TIME(22,42,0),"yyyy-mm-dd hh:mm")</f>
        <v/>
      </c>
      <c r="C62" t="inlineStr">
        <is>
          <t>GU-MGUN-1</t>
        </is>
      </c>
      <c r="D62" t="inlineStr">
        <is>
          <t>Massage Gun Pulse</t>
        </is>
      </c>
      <c r="E62" t="n">
        <v>1</v>
      </c>
      <c r="F62" t="n">
        <v>129</v>
      </c>
    </row>
    <row r="63">
      <c r="A63" t="inlineStr">
        <is>
          <t>GU-1079</t>
        </is>
      </c>
      <c r="B63">
        <f>TEXT(TODAY()-12+TIME(10,47,0),"yyyy-mm-dd hh:mm")</f>
        <v/>
      </c>
      <c r="C63" t="inlineStr">
        <is>
          <t>GU-KB-16</t>
        </is>
      </c>
      <c r="D63" t="inlineStr">
        <is>
          <t>Cast Iron Kettlebell 16 kg</t>
        </is>
      </c>
      <c r="E63" t="n">
        <v>3</v>
      </c>
      <c r="F63" t="n">
        <v>59</v>
      </c>
    </row>
    <row r="64">
      <c r="A64" t="inlineStr">
        <is>
          <t>GU-1080</t>
        </is>
      </c>
      <c r="B64">
        <f>TEXT(TODAY()-12+TIME(15,35,0),"yyyy-mm-dd hh:mm")</f>
        <v/>
      </c>
      <c r="C64" t="inlineStr">
        <is>
          <t>GU-TRX-PRO</t>
        </is>
      </c>
      <c r="D64" t="inlineStr">
        <is>
          <t>Suspension Trainer Pro</t>
        </is>
      </c>
      <c r="E64" t="n">
        <v>1</v>
      </c>
      <c r="F64" t="n">
        <v>99</v>
      </c>
    </row>
    <row r="65">
      <c r="A65" t="inlineStr">
        <is>
          <t>GU-1080</t>
        </is>
      </c>
      <c r="B65">
        <f>TEXT(TODAY()-12+TIME(15,35,0),"yyyy-mm-dd hh:mm")</f>
        <v/>
      </c>
      <c r="C65" t="inlineStr">
        <is>
          <t>GU-BENCH-ADJ</t>
        </is>
      </c>
      <c r="D65" t="inlineStr">
        <is>
          <t>Adjustable Bench</t>
        </is>
      </c>
      <c r="E65" t="n">
        <v>1</v>
      </c>
      <c r="F65" t="n">
        <v>229</v>
      </c>
    </row>
    <row r="66">
      <c r="A66" t="inlineStr">
        <is>
          <t>GU-1081</t>
        </is>
      </c>
      <c r="B66">
        <f>TEXT(TODAY()-12+TIME(19,27,0),"yyyy-mm-dd hh:mm")</f>
        <v/>
      </c>
      <c r="C66" t="inlineStr">
        <is>
          <t>GU-ROPE-SPD</t>
        </is>
      </c>
      <c r="D66" t="inlineStr">
        <is>
          <t>Speed Jump Rope</t>
        </is>
      </c>
      <c r="E66" t="n">
        <v>2</v>
      </c>
      <c r="F66" t="n">
        <v>19</v>
      </c>
    </row>
    <row r="67">
      <c r="A67" t="inlineStr">
        <is>
          <t>GU-1081</t>
        </is>
      </c>
      <c r="B67">
        <f>TEXT(TODAY()-12+TIME(19,27,0),"yyyy-mm-dd hh:mm")</f>
        <v/>
      </c>
      <c r="C67" t="inlineStr">
        <is>
          <t>GU-DB-24</t>
        </is>
      </c>
      <c r="D67" t="inlineStr">
        <is>
          <t>Adjustable Dumbbell 24 kg</t>
        </is>
      </c>
      <c r="E67" t="n">
        <v>1</v>
      </c>
      <c r="F67" t="n">
        <v>179</v>
      </c>
    </row>
    <row r="68">
      <c r="A68" t="inlineStr">
        <is>
          <t>GU-1082</t>
        </is>
      </c>
      <c r="B68">
        <f>TEXT(TODAY()-11+TIME(10,59,0),"yyyy-mm-dd hh:mm")</f>
        <v/>
      </c>
      <c r="C68" t="inlineStr">
        <is>
          <t>GU-PL-10</t>
        </is>
      </c>
      <c r="D68" t="inlineStr">
        <is>
          <t>Bumper Plate 10 kg (pair)</t>
        </is>
      </c>
      <c r="E68" t="n">
        <v>1</v>
      </c>
      <c r="F68" t="n">
        <v>119</v>
      </c>
    </row>
    <row r="69">
      <c r="A69" t="inlineStr">
        <is>
          <t>GU-1083</t>
        </is>
      </c>
      <c r="B69">
        <f>TEXT(TODAY()-11+TIME(17,47,0),"yyyy-mm-dd hh:mm")</f>
        <v/>
      </c>
      <c r="C69" t="inlineStr">
        <is>
          <t>GU-KB-24</t>
        </is>
      </c>
      <c r="D69" t="inlineStr">
        <is>
          <t>Cast Iron Kettlebell 24 kg</t>
        </is>
      </c>
      <c r="E69" t="n">
        <v>1</v>
      </c>
      <c r="F69" t="n">
        <v>79</v>
      </c>
    </row>
    <row r="70">
      <c r="A70" t="inlineStr">
        <is>
          <t>GU-1084</t>
        </is>
      </c>
      <c r="B70">
        <f>TEXT(TODAY()-11+TIME(21,10,0),"yyyy-mm-dd hh:mm")</f>
        <v/>
      </c>
      <c r="C70" t="inlineStr">
        <is>
          <t>GU-ROLL-45</t>
        </is>
      </c>
      <c r="D70" t="inlineStr">
        <is>
          <t>Foam Roller 45 cm</t>
        </is>
      </c>
      <c r="E70" t="n">
        <v>1</v>
      </c>
      <c r="F70" t="n">
        <v>25</v>
      </c>
    </row>
    <row r="71">
      <c r="A71" t="inlineStr">
        <is>
          <t>GU-1084</t>
        </is>
      </c>
      <c r="B71">
        <f>TEXT(TODAY()-11+TIME(21,10,0),"yyyy-mm-dd hh:mm")</f>
        <v/>
      </c>
      <c r="C71" t="inlineStr">
        <is>
          <t>GU-MAT-PRO</t>
        </is>
      </c>
      <c r="D71" t="inlineStr">
        <is>
          <t>Pro Yoga Mat 6 mm</t>
        </is>
      </c>
      <c r="E71" t="n">
        <v>1</v>
      </c>
      <c r="F71" t="n">
        <v>39</v>
      </c>
    </row>
    <row r="72">
      <c r="A72" t="inlineStr">
        <is>
          <t>GU-1085</t>
        </is>
      </c>
      <c r="B72">
        <f>TEXT(TODAY()-11+TIME(22,15,0),"yyyy-mm-dd hh:mm")</f>
        <v/>
      </c>
      <c r="C72" t="inlineStr">
        <is>
          <t>GU-KB-16</t>
        </is>
      </c>
      <c r="D72" t="inlineStr">
        <is>
          <t>Cast Iron Kettlebell 16 kg</t>
        </is>
      </c>
      <c r="E72" t="n">
        <v>2</v>
      </c>
      <c r="F72" t="n">
        <v>59</v>
      </c>
    </row>
    <row r="73">
      <c r="A73" t="inlineStr">
        <is>
          <t>GU-1085</t>
        </is>
      </c>
      <c r="B73">
        <f>TEXT(TODAY()-11+TIME(22,15,0),"yyyy-mm-dd hh:mm")</f>
        <v/>
      </c>
      <c r="C73" t="inlineStr">
        <is>
          <t>GU-MAT-ECO</t>
        </is>
      </c>
      <c r="D73" t="inlineStr">
        <is>
          <t>Eco Cork Yoga Mat</t>
        </is>
      </c>
      <c r="E73" t="n">
        <v>3</v>
      </c>
      <c r="F73" t="n">
        <v>59</v>
      </c>
    </row>
    <row r="74">
      <c r="A74" t="inlineStr">
        <is>
          <t>GU-1086</t>
        </is>
      </c>
      <c r="B74">
        <f>TEXT(TODAY()-10+TIME(8,7,0),"yyyy-mm-dd hh:mm")</f>
        <v/>
      </c>
      <c r="C74" t="inlineStr">
        <is>
          <t>GU-BALL-8</t>
        </is>
      </c>
      <c r="D74" t="inlineStr">
        <is>
          <t>Medicine Ball 8 kg</t>
        </is>
      </c>
      <c r="E74" t="n">
        <v>2</v>
      </c>
      <c r="F74" t="n">
        <v>45</v>
      </c>
    </row>
    <row r="75">
      <c r="A75" t="inlineStr">
        <is>
          <t>GU-1087</t>
        </is>
      </c>
      <c r="B75">
        <f>TEXT(TODAY()-10+TIME(10,37,0),"yyyy-mm-dd hh:mm")</f>
        <v/>
      </c>
      <c r="C75" t="inlineStr">
        <is>
          <t>GU-KB-24</t>
        </is>
      </c>
      <c r="D75" t="inlineStr">
        <is>
          <t>Cast Iron Kettlebell 24 kg</t>
        </is>
      </c>
      <c r="E75" t="n">
        <v>1</v>
      </c>
      <c r="F75" t="n">
        <v>79</v>
      </c>
    </row>
    <row r="76">
      <c r="A76" t="inlineStr">
        <is>
          <t>GU-1087</t>
        </is>
      </c>
      <c r="B76">
        <f>TEXT(TODAY()-10+TIME(10,37,0),"yyyy-mm-dd hh:mm")</f>
        <v/>
      </c>
      <c r="C76" t="inlineStr">
        <is>
          <t>GU-BOX-3IN1</t>
        </is>
      </c>
      <c r="D76" t="inlineStr">
        <is>
          <t>Plyo Box 3-in-1</t>
        </is>
      </c>
      <c r="E76" t="n">
        <v>1</v>
      </c>
      <c r="F76" t="n">
        <v>149</v>
      </c>
    </row>
    <row r="77">
      <c r="A77" t="inlineStr">
        <is>
          <t>GU-1087</t>
        </is>
      </c>
      <c r="B77">
        <f>TEXT(TODAY()-10+TIME(10,37,0),"yyyy-mm-dd hh:mm")</f>
        <v/>
      </c>
      <c r="C77" t="inlineStr">
        <is>
          <t>GU-BAND-SET</t>
        </is>
      </c>
      <c r="D77" t="inlineStr">
        <is>
          <t>Resistance Bands Set (5 pcs)</t>
        </is>
      </c>
      <c r="E77" t="n">
        <v>2</v>
      </c>
      <c r="F77" t="n">
        <v>29</v>
      </c>
    </row>
    <row r="78">
      <c r="A78" t="inlineStr">
        <is>
          <t>GU-1088</t>
        </is>
      </c>
      <c r="B78">
        <f>TEXT(TODAY()-10+TIME(22,16,0),"yyyy-mm-dd hh:mm")</f>
        <v/>
      </c>
      <c r="C78" t="inlineStr">
        <is>
          <t>GU-BENCH-ADJ</t>
        </is>
      </c>
      <c r="D78" t="inlineStr">
        <is>
          <t>Adjustable Bench</t>
        </is>
      </c>
      <c r="E78" t="n">
        <v>1</v>
      </c>
      <c r="F78" t="n">
        <v>229</v>
      </c>
    </row>
    <row r="79">
      <c r="A79" t="inlineStr">
        <is>
          <t>GU-1088</t>
        </is>
      </c>
      <c r="B79">
        <f>TEXT(TODAY()-10+TIME(22,16,0),"yyyy-mm-dd hh:mm")</f>
        <v/>
      </c>
      <c r="C79" t="inlineStr">
        <is>
          <t>GU-BAND-SET</t>
        </is>
      </c>
      <c r="D79" t="inlineStr">
        <is>
          <t>Resistance Bands Set (5 pcs)</t>
        </is>
      </c>
      <c r="E79" t="n">
        <v>2</v>
      </c>
      <c r="F79" t="n">
        <v>29</v>
      </c>
    </row>
    <row r="80">
      <c r="A80" t="inlineStr">
        <is>
          <t>GU-1088</t>
        </is>
      </c>
      <c r="B80">
        <f>TEXT(TODAY()-10+TIME(22,16,0),"yyyy-mm-dd hh:mm")</f>
        <v/>
      </c>
      <c r="C80" t="inlineStr">
        <is>
          <t>GU-ROPE-SPD</t>
        </is>
      </c>
      <c r="D80" t="inlineStr">
        <is>
          <t>Speed Jump Rope</t>
        </is>
      </c>
      <c r="E80" t="n">
        <v>1</v>
      </c>
      <c r="F80" t="n">
        <v>19</v>
      </c>
    </row>
    <row r="81">
      <c r="A81" t="inlineStr">
        <is>
          <t>GU-1089</t>
        </is>
      </c>
      <c r="B81">
        <f>TEXT(TODAY()-9+TIME(9,46,0),"yyyy-mm-dd hh:mm")</f>
        <v/>
      </c>
      <c r="C81" t="inlineStr">
        <is>
          <t>GU-GLV-M</t>
        </is>
      </c>
      <c r="D81" t="inlineStr">
        <is>
          <t>Training Gloves M</t>
        </is>
      </c>
      <c r="E81" t="n">
        <v>3</v>
      </c>
      <c r="F81" t="n">
        <v>24</v>
      </c>
    </row>
    <row r="82">
      <c r="A82" t="inlineStr">
        <is>
          <t>GU-1089</t>
        </is>
      </c>
      <c r="B82">
        <f>TEXT(TODAY()-9+TIME(9,46,0),"yyyy-mm-dd hh:mm")</f>
        <v/>
      </c>
      <c r="C82" t="inlineStr">
        <is>
          <t>GU-MGUN-1</t>
        </is>
      </c>
      <c r="D82" t="inlineStr">
        <is>
          <t>Massage Gun Pulse</t>
        </is>
      </c>
      <c r="E82" t="n">
        <v>1</v>
      </c>
      <c r="F82" t="n">
        <v>129</v>
      </c>
    </row>
    <row r="83">
      <c r="A83" t="inlineStr">
        <is>
          <t>GU-1089</t>
        </is>
      </c>
      <c r="B83">
        <f>TEXT(TODAY()-9+TIME(9,46,0),"yyyy-mm-dd hh:mm")</f>
        <v/>
      </c>
      <c r="C83" t="inlineStr">
        <is>
          <t>GU-BOX-3IN1</t>
        </is>
      </c>
      <c r="D83" t="inlineStr">
        <is>
          <t>Plyo Box 3-in-1</t>
        </is>
      </c>
      <c r="E83" t="n">
        <v>1</v>
      </c>
      <c r="F83" t="n">
        <v>149</v>
      </c>
    </row>
    <row r="84">
      <c r="A84" t="inlineStr">
        <is>
          <t>GU-1090</t>
        </is>
      </c>
      <c r="B84">
        <f>TEXT(TODAY()-9+TIME(18,54,0),"yyyy-mm-dd hh:mm")</f>
        <v/>
      </c>
      <c r="C84" t="inlineStr">
        <is>
          <t>GU-PL-10</t>
        </is>
      </c>
      <c r="D84" t="inlineStr">
        <is>
          <t>Bumper Plate 10 kg (pair)</t>
        </is>
      </c>
      <c r="E84" t="n">
        <v>1</v>
      </c>
      <c r="F84" t="n">
        <v>119</v>
      </c>
    </row>
    <row r="85">
      <c r="A85" t="inlineStr">
        <is>
          <t>GU-1090</t>
        </is>
      </c>
      <c r="B85">
        <f>TEXT(TODAY()-9+TIME(18,54,0),"yyyy-mm-dd hh:mm")</f>
        <v/>
      </c>
      <c r="C85" t="inlineStr">
        <is>
          <t>GU-TRX-PRO</t>
        </is>
      </c>
      <c r="D85" t="inlineStr">
        <is>
          <t>Suspension Trainer Pro</t>
        </is>
      </c>
      <c r="E85" t="n">
        <v>1</v>
      </c>
      <c r="F85" t="n">
        <v>99</v>
      </c>
    </row>
    <row r="86">
      <c r="A86" t="inlineStr">
        <is>
          <t>GU-1090</t>
        </is>
      </c>
      <c r="B86">
        <f>TEXT(TODAY()-9+TIME(18,54,0),"yyyy-mm-dd hh:mm")</f>
        <v/>
      </c>
      <c r="C86" t="inlineStr">
        <is>
          <t>GU-ROLL-45</t>
        </is>
      </c>
      <c r="D86" t="inlineStr">
        <is>
          <t>Foam Roller 45 cm</t>
        </is>
      </c>
      <c r="E86" t="n">
        <v>2</v>
      </c>
      <c r="F86" t="n">
        <v>25</v>
      </c>
    </row>
    <row r="87">
      <c r="A87" t="inlineStr">
        <is>
          <t>GU-1091</t>
        </is>
      </c>
      <c r="B87">
        <f>TEXT(TODAY()-9+TIME(22,19,0),"yyyy-mm-dd hh:mm")</f>
        <v/>
      </c>
      <c r="C87" t="inlineStr">
        <is>
          <t>GU-TRX-PRO</t>
        </is>
      </c>
      <c r="D87" t="inlineStr">
        <is>
          <t>Suspension Trainer Pro</t>
        </is>
      </c>
      <c r="E87" t="n">
        <v>1</v>
      </c>
      <c r="F87" t="n">
        <v>99</v>
      </c>
    </row>
    <row r="88">
      <c r="A88" t="inlineStr">
        <is>
          <t>GU-1091</t>
        </is>
      </c>
      <c r="B88">
        <f>TEXT(TODAY()-9+TIME(22,19,0),"yyyy-mm-dd hh:mm")</f>
        <v/>
      </c>
      <c r="C88" t="inlineStr">
        <is>
          <t>GU-MGUN-1</t>
        </is>
      </c>
      <c r="D88" t="inlineStr">
        <is>
          <t>Massage Gun Pulse</t>
        </is>
      </c>
      <c r="E88" t="n">
        <v>1</v>
      </c>
      <c r="F88" t="n">
        <v>129</v>
      </c>
    </row>
    <row r="89">
      <c r="A89" t="inlineStr">
        <is>
          <t>GU-1092</t>
        </is>
      </c>
      <c r="B89">
        <f>TEXT(TODAY()-8+TIME(16,30,0),"yyyy-mm-dd hh:mm")</f>
        <v/>
      </c>
      <c r="C89" t="inlineStr">
        <is>
          <t>GU-BAG-DUF</t>
        </is>
      </c>
      <c r="D89" t="inlineStr">
        <is>
          <t>Gym Duffel Bag 40 L</t>
        </is>
      </c>
      <c r="E89" t="n">
        <v>1</v>
      </c>
      <c r="F89" t="n">
        <v>49</v>
      </c>
    </row>
    <row r="90">
      <c r="A90" t="inlineStr">
        <is>
          <t>GU-1092</t>
        </is>
      </c>
      <c r="B90">
        <f>TEXT(TODAY()-8+TIME(16,30,0),"yyyy-mm-dd hh:mm")</f>
        <v/>
      </c>
      <c r="C90" t="inlineStr">
        <is>
          <t>GU-MGUN-1</t>
        </is>
      </c>
      <c r="D90" t="inlineStr">
        <is>
          <t>Massage Gun Pulse</t>
        </is>
      </c>
      <c r="E90" t="n">
        <v>1</v>
      </c>
      <c r="F90" t="n">
        <v>129</v>
      </c>
    </row>
    <row r="91">
      <c r="A91" t="inlineStr">
        <is>
          <t>GU-1093</t>
        </is>
      </c>
      <c r="B91">
        <f>TEXT(TODAY()-8+TIME(18,13,0),"yyyy-mm-dd hh:mm")</f>
        <v/>
      </c>
      <c r="C91" t="inlineStr">
        <is>
          <t>GU-BAR-20</t>
        </is>
      </c>
      <c r="D91" t="inlineStr">
        <is>
          <t>Olympic Barbell 20 kg</t>
        </is>
      </c>
      <c r="E91" t="n">
        <v>1</v>
      </c>
      <c r="F91" t="n">
        <v>249</v>
      </c>
    </row>
    <row r="92">
      <c r="A92" t="inlineStr">
        <is>
          <t>GU-1094</t>
        </is>
      </c>
      <c r="B92">
        <f>TEXT(TODAY()-8+TIME(20,47,0),"yyyy-mm-dd hh:mm")</f>
        <v/>
      </c>
      <c r="C92" t="inlineStr">
        <is>
          <t>GU-KB-16</t>
        </is>
      </c>
      <c r="D92" t="inlineStr">
        <is>
          <t>Cast Iron Kettlebell 16 kg</t>
        </is>
      </c>
      <c r="E92" t="n">
        <v>3</v>
      </c>
      <c r="F92" t="n">
        <v>59</v>
      </c>
    </row>
    <row r="93">
      <c r="A93" t="inlineStr">
        <is>
          <t>GU-1094</t>
        </is>
      </c>
      <c r="B93">
        <f>TEXT(TODAY()-8+TIME(20,47,0),"yyyy-mm-dd hh:mm")</f>
        <v/>
      </c>
      <c r="C93" t="inlineStr">
        <is>
          <t>GU-GLV-L</t>
        </is>
      </c>
      <c r="D93" t="inlineStr">
        <is>
          <t>Training Gloves L</t>
        </is>
      </c>
      <c r="E93" t="n">
        <v>3</v>
      </c>
      <c r="F93" t="n">
        <v>24</v>
      </c>
    </row>
    <row r="94">
      <c r="A94" t="inlineStr">
        <is>
          <t>GU-1094</t>
        </is>
      </c>
      <c r="B94">
        <f>TEXT(TODAY()-8+TIME(20,47,0),"yyyy-mm-dd hh:mm")</f>
        <v/>
      </c>
      <c r="C94" t="inlineStr">
        <is>
          <t>GU-GLV-M</t>
        </is>
      </c>
      <c r="D94" t="inlineStr">
        <is>
          <t>Training Gloves M</t>
        </is>
      </c>
      <c r="E94" t="n">
        <v>1</v>
      </c>
      <c r="F94" t="n">
        <v>24</v>
      </c>
    </row>
    <row r="95">
      <c r="A95" t="inlineStr">
        <is>
          <t>GU-1095</t>
        </is>
      </c>
      <c r="B95">
        <f>TEXT(TODAY()-8+TIME(20,57,0),"yyyy-mm-dd hh:mm")</f>
        <v/>
      </c>
      <c r="C95" t="inlineStr">
        <is>
          <t>GU-DB-10</t>
        </is>
      </c>
      <c r="D95" t="inlineStr">
        <is>
          <t>Adjustable Dumbbell 10 kg</t>
        </is>
      </c>
      <c r="E95" t="n">
        <v>1</v>
      </c>
      <c r="F95" t="n">
        <v>89</v>
      </c>
    </row>
    <row r="96">
      <c r="A96" t="inlineStr">
        <is>
          <t>GU-1096</t>
        </is>
      </c>
      <c r="B96">
        <f>TEXT(TODAY()-7+TIME(8,35,0),"yyyy-mm-dd hh:mm")</f>
        <v/>
      </c>
      <c r="C96" t="inlineStr">
        <is>
          <t>GU-BAR-20</t>
        </is>
      </c>
      <c r="D96" t="inlineStr">
        <is>
          <t>Olympic Barbell 20 kg</t>
        </is>
      </c>
      <c r="E96" t="n">
        <v>1</v>
      </c>
      <c r="F96" t="n">
        <v>249</v>
      </c>
    </row>
    <row r="97">
      <c r="A97" t="inlineStr">
        <is>
          <t>GU-1096</t>
        </is>
      </c>
      <c r="B97">
        <f>TEXT(TODAY()-7+TIME(8,35,0),"yyyy-mm-dd hh:mm")</f>
        <v/>
      </c>
      <c r="C97" t="inlineStr">
        <is>
          <t>GU-GLV-L</t>
        </is>
      </c>
      <c r="D97" t="inlineStr">
        <is>
          <t>Training Gloves L</t>
        </is>
      </c>
      <c r="E97" t="n">
        <v>3</v>
      </c>
      <c r="F97" t="n">
        <v>24</v>
      </c>
    </row>
    <row r="98">
      <c r="A98" t="inlineStr">
        <is>
          <t>GU-1097</t>
        </is>
      </c>
      <c r="B98">
        <f>TEXT(TODAY()-7+TIME(11,11,0),"yyyy-mm-dd hh:mm")</f>
        <v/>
      </c>
      <c r="C98" t="inlineStr">
        <is>
          <t>GU-MAT-ECO</t>
        </is>
      </c>
      <c r="D98" t="inlineStr">
        <is>
          <t>Eco Cork Yoga Mat</t>
        </is>
      </c>
      <c r="E98" t="n">
        <v>3</v>
      </c>
      <c r="F98" t="n">
        <v>59</v>
      </c>
    </row>
    <row r="99">
      <c r="A99" t="inlineStr">
        <is>
          <t>GU-1098</t>
        </is>
      </c>
      <c r="B99">
        <f>TEXT(TODAY()-7+TIME(16,29,0),"yyyy-mm-dd hh:mm")</f>
        <v/>
      </c>
      <c r="C99" t="inlineStr">
        <is>
          <t>GU-ROLL-45</t>
        </is>
      </c>
      <c r="D99" t="inlineStr">
        <is>
          <t>Foam Roller 45 cm</t>
        </is>
      </c>
      <c r="E99" t="n">
        <v>2</v>
      </c>
      <c r="F99" t="n">
        <v>25</v>
      </c>
    </row>
    <row r="100">
      <c r="A100" t="inlineStr">
        <is>
          <t>GU-1098</t>
        </is>
      </c>
      <c r="B100">
        <f>TEXT(TODAY()-7+TIME(16,29,0),"yyyy-mm-dd hh:mm")</f>
        <v/>
      </c>
      <c r="C100" t="inlineStr">
        <is>
          <t>GU-MAT-PRO</t>
        </is>
      </c>
      <c r="D100" t="inlineStr">
        <is>
          <t>Pro Yoga Mat 6 mm</t>
        </is>
      </c>
      <c r="E100" t="n">
        <v>2</v>
      </c>
      <c r="F100" t="n">
        <v>39</v>
      </c>
    </row>
    <row r="101">
      <c r="A101" t="inlineStr">
        <is>
          <t>GU-1098</t>
        </is>
      </c>
      <c r="B101">
        <f>TEXT(TODAY()-7+TIME(16,29,0),"yyyy-mm-dd hh:mm")</f>
        <v/>
      </c>
      <c r="C101" t="inlineStr">
        <is>
          <t>GU-MAT-ECO</t>
        </is>
      </c>
      <c r="D101" t="inlineStr">
        <is>
          <t>Eco Cork Yoga Mat</t>
        </is>
      </c>
      <c r="E101" t="n">
        <v>3</v>
      </c>
      <c r="F101" t="n">
        <v>59</v>
      </c>
    </row>
    <row r="102">
      <c r="A102" t="inlineStr">
        <is>
          <t>GU-1099</t>
        </is>
      </c>
      <c r="B102">
        <f>TEXT(TODAY()-7+TIME(20,44,0),"yyyy-mm-dd hh:mm")</f>
        <v/>
      </c>
      <c r="C102" t="inlineStr">
        <is>
          <t>GU-BAR-20</t>
        </is>
      </c>
      <c r="D102" t="inlineStr">
        <is>
          <t>Olympic Barbell 20 kg</t>
        </is>
      </c>
      <c r="E102" t="n">
        <v>1</v>
      </c>
      <c r="F102" t="n">
        <v>249</v>
      </c>
    </row>
    <row r="103">
      <c r="A103" t="inlineStr">
        <is>
          <t>GU-1099</t>
        </is>
      </c>
      <c r="B103">
        <f>TEXT(TODAY()-7+TIME(20,44,0),"yyyy-mm-dd hh:mm")</f>
        <v/>
      </c>
      <c r="C103" t="inlineStr">
        <is>
          <t>GU-BAND-SET</t>
        </is>
      </c>
      <c r="D103" t="inlineStr">
        <is>
          <t>Resistance Bands Set (5 pcs)</t>
        </is>
      </c>
      <c r="E103" t="n">
        <v>1</v>
      </c>
      <c r="F103" t="n">
        <v>29</v>
      </c>
    </row>
    <row r="104">
      <c r="A104" t="inlineStr">
        <is>
          <t>GU-1100</t>
        </is>
      </c>
      <c r="B104">
        <f>TEXT(TODAY()-6+TIME(11,53,0),"yyyy-mm-dd hh:mm")</f>
        <v/>
      </c>
      <c r="C104" t="inlineStr">
        <is>
          <t>GU-DB-10</t>
        </is>
      </c>
      <c r="D104" t="inlineStr">
        <is>
          <t>Adjustable Dumbbell 10 kg</t>
        </is>
      </c>
      <c r="E104" t="n">
        <v>1</v>
      </c>
      <c r="F104" t="n">
        <v>89</v>
      </c>
    </row>
    <row r="105">
      <c r="A105" t="inlineStr">
        <is>
          <t>GU-1100</t>
        </is>
      </c>
      <c r="B105">
        <f>TEXT(TODAY()-6+TIME(11,53,0),"yyyy-mm-dd hh:mm")</f>
        <v/>
      </c>
      <c r="C105" t="inlineStr">
        <is>
          <t>GU-TRX-PRO</t>
        </is>
      </c>
      <c r="D105" t="inlineStr">
        <is>
          <t>Suspension Trainer Pro</t>
        </is>
      </c>
      <c r="E105" t="n">
        <v>1</v>
      </c>
      <c r="F105" t="n">
        <v>99</v>
      </c>
    </row>
    <row r="106">
      <c r="A106" t="inlineStr">
        <is>
          <t>GU-1100</t>
        </is>
      </c>
      <c r="B106">
        <f>TEXT(TODAY()-6+TIME(11,53,0),"yyyy-mm-dd hh:mm")</f>
        <v/>
      </c>
      <c r="C106" t="inlineStr">
        <is>
          <t>GU-BOX-3IN1</t>
        </is>
      </c>
      <c r="D106" t="inlineStr">
        <is>
          <t>Plyo Box 3-in-1</t>
        </is>
      </c>
      <c r="E106" t="n">
        <v>1</v>
      </c>
      <c r="F106" t="n">
        <v>149</v>
      </c>
    </row>
    <row r="107">
      <c r="A107" t="inlineStr">
        <is>
          <t>GU-1101</t>
        </is>
      </c>
      <c r="B107">
        <f>TEXT(TODAY()-6+TIME(14,3,0),"yyyy-mm-dd hh:mm")</f>
        <v/>
      </c>
      <c r="C107" t="inlineStr">
        <is>
          <t>GU-GLV-M</t>
        </is>
      </c>
      <c r="D107" t="inlineStr">
        <is>
          <t>Training Gloves M</t>
        </is>
      </c>
      <c r="E107" t="n">
        <v>3</v>
      </c>
      <c r="F107" t="n">
        <v>24</v>
      </c>
    </row>
    <row r="108">
      <c r="A108" t="inlineStr">
        <is>
          <t>GU-1101</t>
        </is>
      </c>
      <c r="B108">
        <f>TEXT(TODAY()-6+TIME(14,3,0),"yyyy-mm-dd hh:mm")</f>
        <v/>
      </c>
      <c r="C108" t="inlineStr">
        <is>
          <t>GU-BENCH-ADJ</t>
        </is>
      </c>
      <c r="D108" t="inlineStr">
        <is>
          <t>Adjustable Bench</t>
        </is>
      </c>
      <c r="E108" t="n">
        <v>1</v>
      </c>
      <c r="F108" t="n">
        <v>229</v>
      </c>
    </row>
    <row r="109">
      <c r="A109" t="inlineStr">
        <is>
          <t>GU-1102</t>
        </is>
      </c>
      <c r="B109">
        <f>TEXT(TODAY()-6+TIME(16,29,0),"yyyy-mm-dd hh:mm")</f>
        <v/>
      </c>
      <c r="C109" t="inlineStr">
        <is>
          <t>GU-GLV-M</t>
        </is>
      </c>
      <c r="D109" t="inlineStr">
        <is>
          <t>Training Gloves M</t>
        </is>
      </c>
      <c r="E109" t="n">
        <v>1</v>
      </c>
      <c r="F109" t="n">
        <v>24</v>
      </c>
    </row>
    <row r="110">
      <c r="A110" t="inlineStr">
        <is>
          <t>GU-1102</t>
        </is>
      </c>
      <c r="B110">
        <f>TEXT(TODAY()-6+TIME(16,29,0),"yyyy-mm-dd hh:mm")</f>
        <v/>
      </c>
      <c r="C110" t="inlineStr">
        <is>
          <t>GU-BTL-1L</t>
        </is>
      </c>
      <c r="D110" t="inlineStr">
        <is>
          <t>Insulated Bottle 1 L</t>
        </is>
      </c>
      <c r="E110" t="n">
        <v>2</v>
      </c>
      <c r="F110" t="n">
        <v>22</v>
      </c>
    </row>
    <row r="111">
      <c r="A111" t="inlineStr">
        <is>
          <t>GU-1103</t>
        </is>
      </c>
      <c r="B111">
        <f>TEXT(TODAY()-5+TIME(8,16,0),"yyyy-mm-dd hh:mm")</f>
        <v/>
      </c>
      <c r="C111" t="inlineStr">
        <is>
          <t>GU-MGUN-1</t>
        </is>
      </c>
      <c r="D111" t="inlineStr">
        <is>
          <t>Massage Gun Pulse</t>
        </is>
      </c>
      <c r="E111" t="n">
        <v>1</v>
      </c>
      <c r="F111" t="n">
        <v>129</v>
      </c>
    </row>
    <row r="112">
      <c r="A112" t="inlineStr">
        <is>
          <t>GU-1103</t>
        </is>
      </c>
      <c r="B112">
        <f>TEXT(TODAY()-5+TIME(8,16,0),"yyyy-mm-dd hh:mm")</f>
        <v/>
      </c>
      <c r="C112" t="inlineStr">
        <is>
          <t>GU-BOX-3IN1</t>
        </is>
      </c>
      <c r="D112" t="inlineStr">
        <is>
          <t>Plyo Box 3-in-1</t>
        </is>
      </c>
      <c r="E112" t="n">
        <v>1</v>
      </c>
      <c r="F112" t="n">
        <v>149</v>
      </c>
    </row>
    <row r="113">
      <c r="A113" t="inlineStr">
        <is>
          <t>GU-1104</t>
        </is>
      </c>
      <c r="B113">
        <f>TEXT(TODAY()-5+TIME(10,55,0),"yyyy-mm-dd hh:mm")</f>
        <v/>
      </c>
      <c r="C113" t="inlineStr">
        <is>
          <t>GU-BENCH-ADJ</t>
        </is>
      </c>
      <c r="D113" t="inlineStr">
        <is>
          <t>Adjustable Bench</t>
        </is>
      </c>
      <c r="E113" t="n">
        <v>1</v>
      </c>
      <c r="F113" t="n">
        <v>229</v>
      </c>
    </row>
    <row r="114">
      <c r="A114" t="inlineStr">
        <is>
          <t>GU-1105</t>
        </is>
      </c>
      <c r="B114">
        <f>TEXT(TODAY()-5+TIME(14,20,0),"yyyy-mm-dd hh:mm")</f>
        <v/>
      </c>
      <c r="C114" t="inlineStr">
        <is>
          <t>GU-DB-24</t>
        </is>
      </c>
      <c r="D114" t="inlineStr">
        <is>
          <t>Adjustable Dumbbell 24 kg</t>
        </is>
      </c>
      <c r="E114" t="n">
        <v>1</v>
      </c>
      <c r="F114" t="n">
        <v>179</v>
      </c>
    </row>
    <row r="115">
      <c r="A115" t="inlineStr">
        <is>
          <t>GU-1105</t>
        </is>
      </c>
      <c r="B115">
        <f>TEXT(TODAY()-5+TIME(14,20,0),"yyyy-mm-dd hh:mm")</f>
        <v/>
      </c>
      <c r="C115" t="inlineStr">
        <is>
          <t>GU-DB-10</t>
        </is>
      </c>
      <c r="D115" t="inlineStr">
        <is>
          <t>Adjustable Dumbbell 10 kg</t>
        </is>
      </c>
      <c r="E115" t="n">
        <v>1</v>
      </c>
      <c r="F115" t="n">
        <v>89</v>
      </c>
    </row>
    <row r="116">
      <c r="A116" t="inlineStr">
        <is>
          <t>GU-1105</t>
        </is>
      </c>
      <c r="B116">
        <f>TEXT(TODAY()-5+TIME(14,20,0),"yyyy-mm-dd hh:mm")</f>
        <v/>
      </c>
      <c r="C116" t="inlineStr">
        <is>
          <t>GU-MAT-PRO</t>
        </is>
      </c>
      <c r="D116" t="inlineStr">
        <is>
          <t>Pro Yoga Mat 6 mm</t>
        </is>
      </c>
      <c r="E116" t="n">
        <v>1</v>
      </c>
      <c r="F116" t="n">
        <v>39</v>
      </c>
    </row>
    <row r="117">
      <c r="A117" t="inlineStr">
        <is>
          <t>GU-1106</t>
        </is>
      </c>
      <c r="B117">
        <f>TEXT(TODAY()-5+TIME(15,11,0),"yyyy-mm-dd hh:mm")</f>
        <v/>
      </c>
      <c r="C117" t="inlineStr">
        <is>
          <t>GU-BAR-20</t>
        </is>
      </c>
      <c r="D117" t="inlineStr">
        <is>
          <t>Olympic Barbell 20 kg</t>
        </is>
      </c>
      <c r="E117" t="n">
        <v>1</v>
      </c>
      <c r="F117" t="n">
        <v>249</v>
      </c>
    </row>
    <row r="118">
      <c r="A118" t="inlineStr">
        <is>
          <t>GU-1107</t>
        </is>
      </c>
      <c r="B118">
        <f>TEXT(TODAY()-4+TIME(10,38,0),"yyyy-mm-dd hh:mm")</f>
        <v/>
      </c>
      <c r="C118" t="inlineStr">
        <is>
          <t>GU-KB-24</t>
        </is>
      </c>
      <c r="D118" t="inlineStr">
        <is>
          <t>Cast Iron Kettlebell 24 kg</t>
        </is>
      </c>
      <c r="E118" t="n">
        <v>1</v>
      </c>
      <c r="F118" t="n">
        <v>79</v>
      </c>
    </row>
    <row r="119">
      <c r="A119" t="inlineStr">
        <is>
          <t>GU-1107</t>
        </is>
      </c>
      <c r="B119">
        <f>TEXT(TODAY()-4+TIME(10,38,0),"yyyy-mm-dd hh:mm")</f>
        <v/>
      </c>
      <c r="C119" t="inlineStr">
        <is>
          <t>GU-TRX-PRO</t>
        </is>
      </c>
      <c r="D119" t="inlineStr">
        <is>
          <t>Suspension Trainer Pro</t>
        </is>
      </c>
      <c r="E119" t="n">
        <v>1</v>
      </c>
      <c r="F119" t="n">
        <v>99</v>
      </c>
    </row>
    <row r="120">
      <c r="A120" t="inlineStr">
        <is>
          <t>GU-1108</t>
        </is>
      </c>
      <c r="B120">
        <f>TEXT(TODAY()-4+TIME(17,47,0),"yyyy-mm-dd hh:mm")</f>
        <v/>
      </c>
      <c r="C120" t="inlineStr">
        <is>
          <t>GU-TRX-PRO</t>
        </is>
      </c>
      <c r="D120" t="inlineStr">
        <is>
          <t>Suspension Trainer Pro</t>
        </is>
      </c>
      <c r="E120" t="n">
        <v>1</v>
      </c>
      <c r="F120" t="n">
        <v>99</v>
      </c>
    </row>
    <row r="121">
      <c r="A121" t="inlineStr">
        <is>
          <t>GU-1109</t>
        </is>
      </c>
      <c r="B121">
        <f>TEXT(TODAY()-4+TIME(19,16,0),"yyyy-mm-dd hh:mm")</f>
        <v/>
      </c>
      <c r="C121" t="inlineStr">
        <is>
          <t>GU-BALL-8</t>
        </is>
      </c>
      <c r="D121" t="inlineStr">
        <is>
          <t>Medicine Ball 8 kg</t>
        </is>
      </c>
      <c r="E121" t="n">
        <v>2</v>
      </c>
      <c r="F121" t="n">
        <v>45</v>
      </c>
    </row>
    <row r="122">
      <c r="A122" t="inlineStr">
        <is>
          <t>GU-1109</t>
        </is>
      </c>
      <c r="B122">
        <f>TEXT(TODAY()-4+TIME(19,16,0),"yyyy-mm-dd hh:mm")</f>
        <v/>
      </c>
      <c r="C122" t="inlineStr">
        <is>
          <t>GU-KB-24</t>
        </is>
      </c>
      <c r="D122" t="inlineStr">
        <is>
          <t>Cast Iron Kettlebell 24 kg</t>
        </is>
      </c>
      <c r="E122" t="n">
        <v>1</v>
      </c>
      <c r="F122" t="n">
        <v>79</v>
      </c>
    </row>
    <row r="123">
      <c r="A123" t="inlineStr">
        <is>
          <t>GU-1109</t>
        </is>
      </c>
      <c r="B123">
        <f>TEXT(TODAY()-4+TIME(19,16,0),"yyyy-mm-dd hh:mm")</f>
        <v/>
      </c>
      <c r="C123" t="inlineStr">
        <is>
          <t>GU-DB-24</t>
        </is>
      </c>
      <c r="D123" t="inlineStr">
        <is>
          <t>Adjustable Dumbbell 24 kg</t>
        </is>
      </c>
      <c r="E123" t="n">
        <v>1</v>
      </c>
      <c r="F123" t="n">
        <v>179</v>
      </c>
    </row>
    <row r="124">
      <c r="A124" t="inlineStr">
        <is>
          <t>GU-1110</t>
        </is>
      </c>
      <c r="B124">
        <f>TEXT(TODAY()-4+TIME(20,23,0),"yyyy-mm-dd hh:mm")</f>
        <v/>
      </c>
      <c r="C124" t="inlineStr">
        <is>
          <t>GU-MGUN-1</t>
        </is>
      </c>
      <c r="D124" t="inlineStr">
        <is>
          <t>Massage Gun Pulse</t>
        </is>
      </c>
      <c r="E124" t="n">
        <v>1</v>
      </c>
      <c r="F124" t="n">
        <v>129</v>
      </c>
    </row>
    <row r="125">
      <c r="A125" t="inlineStr">
        <is>
          <t>GU-1110</t>
        </is>
      </c>
      <c r="B125">
        <f>TEXT(TODAY()-4+TIME(20,23,0),"yyyy-mm-dd hh:mm")</f>
        <v/>
      </c>
      <c r="C125" t="inlineStr">
        <is>
          <t>GU-DB-10</t>
        </is>
      </c>
      <c r="D125" t="inlineStr">
        <is>
          <t>Adjustable Dumbbell 10 kg</t>
        </is>
      </c>
      <c r="E125" t="n">
        <v>1</v>
      </c>
      <c r="F125" t="n">
        <v>89</v>
      </c>
    </row>
    <row r="126">
      <c r="A126" t="inlineStr">
        <is>
          <t>GU-1110</t>
        </is>
      </c>
      <c r="B126">
        <f>TEXT(TODAY()-4+TIME(20,23,0),"yyyy-mm-dd hh:mm")</f>
        <v/>
      </c>
      <c r="C126" t="inlineStr">
        <is>
          <t>GU-GLV-M</t>
        </is>
      </c>
      <c r="D126" t="inlineStr">
        <is>
          <t>Training Gloves M</t>
        </is>
      </c>
      <c r="E126" t="n">
        <v>2</v>
      </c>
      <c r="F126" t="n">
        <v>24</v>
      </c>
    </row>
    <row r="127">
      <c r="A127" t="inlineStr">
        <is>
          <t>GU-1111</t>
        </is>
      </c>
      <c r="B127">
        <f>TEXT(TODAY()-3+TIME(18,57,0),"yyyy-mm-dd hh:mm")</f>
        <v/>
      </c>
      <c r="C127" t="inlineStr">
        <is>
          <t>GU-BAG-DUF</t>
        </is>
      </c>
      <c r="D127" t="inlineStr">
        <is>
          <t>Gym Duffel Bag 40 L</t>
        </is>
      </c>
      <c r="E127" t="n">
        <v>2</v>
      </c>
      <c r="F127" t="n">
        <v>49</v>
      </c>
    </row>
    <row r="128">
      <c r="A128" t="inlineStr">
        <is>
          <t>GU-1111</t>
        </is>
      </c>
      <c r="B128">
        <f>TEXT(TODAY()-3+TIME(18,57,0),"yyyy-mm-dd hh:mm")</f>
        <v/>
      </c>
      <c r="C128" t="inlineStr">
        <is>
          <t>GU-MAT-ECO</t>
        </is>
      </c>
      <c r="D128" t="inlineStr">
        <is>
          <t>Eco Cork Yoga Mat</t>
        </is>
      </c>
      <c r="E128" t="n">
        <v>2</v>
      </c>
      <c r="F128" t="n">
        <v>59</v>
      </c>
    </row>
    <row r="129">
      <c r="A129" t="inlineStr">
        <is>
          <t>GU-1111</t>
        </is>
      </c>
      <c r="B129">
        <f>TEXT(TODAY()-3+TIME(18,57,0),"yyyy-mm-dd hh:mm")</f>
        <v/>
      </c>
      <c r="C129" t="inlineStr">
        <is>
          <t>GU-BENCH-ADJ</t>
        </is>
      </c>
      <c r="D129" t="inlineStr">
        <is>
          <t>Adjustable Bench</t>
        </is>
      </c>
      <c r="E129" t="n">
        <v>1</v>
      </c>
      <c r="F129" t="n">
        <v>229</v>
      </c>
    </row>
    <row r="130">
      <c r="A130" t="inlineStr">
        <is>
          <t>GU-1112</t>
        </is>
      </c>
      <c r="B130">
        <f>TEXT(TODAY()-3+TIME(19,9,0),"yyyy-mm-dd hh:mm")</f>
        <v/>
      </c>
      <c r="C130" t="inlineStr">
        <is>
          <t>GU-GLV-L</t>
        </is>
      </c>
      <c r="D130" t="inlineStr">
        <is>
          <t>Training Gloves L</t>
        </is>
      </c>
      <c r="E130" t="n">
        <v>2</v>
      </c>
      <c r="F130" t="n">
        <v>24</v>
      </c>
    </row>
    <row r="131">
      <c r="A131" t="inlineStr">
        <is>
          <t>GU-1112</t>
        </is>
      </c>
      <c r="B131">
        <f>TEXT(TODAY()-3+TIME(19,9,0),"yyyy-mm-dd hh:mm")</f>
        <v/>
      </c>
      <c r="C131" t="inlineStr">
        <is>
          <t>GU-MAT-PRO</t>
        </is>
      </c>
      <c r="D131" t="inlineStr">
        <is>
          <t>Pro Yoga Mat 6 mm</t>
        </is>
      </c>
      <c r="E131" t="n">
        <v>3</v>
      </c>
      <c r="F131" t="n">
        <v>39</v>
      </c>
    </row>
    <row r="132">
      <c r="A132" t="inlineStr">
        <is>
          <t>GU-1113</t>
        </is>
      </c>
      <c r="B132">
        <f>TEXT(TODAY()-3+TIME(21,29,0),"yyyy-mm-dd hh:mm")</f>
        <v/>
      </c>
      <c r="C132" t="inlineStr">
        <is>
          <t>GU-PL-10</t>
        </is>
      </c>
      <c r="D132" t="inlineStr">
        <is>
          <t>Bumper Plate 10 kg (pair)</t>
        </is>
      </c>
      <c r="E132" t="n">
        <v>1</v>
      </c>
      <c r="F132" t="n">
        <v>119</v>
      </c>
    </row>
    <row r="133">
      <c r="A133" t="inlineStr">
        <is>
          <t>GU-1113</t>
        </is>
      </c>
      <c r="B133">
        <f>TEXT(TODAY()-3+TIME(21,29,0),"yyyy-mm-dd hh:mm")</f>
        <v/>
      </c>
      <c r="C133" t="inlineStr">
        <is>
          <t>GU-BTL-1L</t>
        </is>
      </c>
      <c r="D133" t="inlineStr">
        <is>
          <t>Insulated Bottle 1 L</t>
        </is>
      </c>
      <c r="E133" t="n">
        <v>1</v>
      </c>
      <c r="F133" t="n">
        <v>22</v>
      </c>
    </row>
    <row r="134">
      <c r="A134" t="inlineStr">
        <is>
          <t>GU-1114</t>
        </is>
      </c>
      <c r="B134">
        <f>TEXT(TODAY()-2+TIME(12,35,0),"yyyy-mm-dd hh:mm")</f>
        <v/>
      </c>
      <c r="C134" t="inlineStr">
        <is>
          <t>GU-KB-16</t>
        </is>
      </c>
      <c r="D134" t="inlineStr">
        <is>
          <t>Cast Iron Kettlebell 16 kg</t>
        </is>
      </c>
      <c r="E134" t="n">
        <v>1</v>
      </c>
      <c r="F134" t="n">
        <v>59</v>
      </c>
    </row>
    <row r="135">
      <c r="A135" t="inlineStr">
        <is>
          <t>GU-1115</t>
        </is>
      </c>
      <c r="B135">
        <f>TEXT(TODAY()-2+TIME(19,56,0),"yyyy-mm-dd hh:mm")</f>
        <v/>
      </c>
      <c r="C135" t="inlineStr">
        <is>
          <t>GU-BTL-1L</t>
        </is>
      </c>
      <c r="D135" t="inlineStr">
        <is>
          <t>Insulated Bottle 1 L</t>
        </is>
      </c>
      <c r="E135" t="n">
        <v>3</v>
      </c>
      <c r="F135" t="n">
        <v>22</v>
      </c>
    </row>
    <row r="136">
      <c r="A136" t="inlineStr">
        <is>
          <t>GU-1116</t>
        </is>
      </c>
      <c r="B136">
        <f>TEXT(TODAY()-2+TIME(22,38,0),"yyyy-mm-dd hh:mm")</f>
        <v/>
      </c>
      <c r="C136" t="inlineStr">
        <is>
          <t>GU-ROLL-45</t>
        </is>
      </c>
      <c r="D136" t="inlineStr">
        <is>
          <t>Foam Roller 45 cm</t>
        </is>
      </c>
      <c r="E136" t="n">
        <v>1</v>
      </c>
      <c r="F136" t="n">
        <v>25</v>
      </c>
    </row>
    <row r="137">
      <c r="A137" t="inlineStr">
        <is>
          <t>GU-1117</t>
        </is>
      </c>
      <c r="B137">
        <f>TEXT(TODAY()-1+TIME(13,27,0),"yyyy-mm-dd hh:mm")</f>
        <v/>
      </c>
      <c r="C137" t="inlineStr">
        <is>
          <t>GU-GLV-L</t>
        </is>
      </c>
      <c r="D137" t="inlineStr">
        <is>
          <t>Training Gloves L</t>
        </is>
      </c>
      <c r="E137" t="n">
        <v>2</v>
      </c>
      <c r="F137" t="n">
        <v>24</v>
      </c>
    </row>
    <row r="138">
      <c r="A138" t="inlineStr">
        <is>
          <t>GU-1117</t>
        </is>
      </c>
      <c r="B138">
        <f>TEXT(TODAY()-1+TIME(13,27,0),"yyyy-mm-dd hh:mm")</f>
        <v/>
      </c>
      <c r="C138" t="inlineStr">
        <is>
          <t>GU-MAT-ECO</t>
        </is>
      </c>
      <c r="D138" t="inlineStr">
        <is>
          <t>Eco Cork Yoga Mat</t>
        </is>
      </c>
      <c r="E138" t="n">
        <v>1</v>
      </c>
      <c r="F138" t="n">
        <v>59</v>
      </c>
    </row>
    <row r="139">
      <c r="A139" t="inlineStr">
        <is>
          <t>GU-1117</t>
        </is>
      </c>
      <c r="B139">
        <f>TEXT(TODAY()-1+TIME(13,27,0),"yyyy-mm-dd hh:mm")</f>
        <v/>
      </c>
      <c r="C139" t="inlineStr">
        <is>
          <t>GU-ROLL-45</t>
        </is>
      </c>
      <c r="D139" t="inlineStr">
        <is>
          <t>Foam Roller 45 cm</t>
        </is>
      </c>
      <c r="E139" t="n">
        <v>1</v>
      </c>
      <c r="F139" t="n">
        <v>25</v>
      </c>
    </row>
    <row r="140">
      <c r="A140" t="inlineStr">
        <is>
          <t>GU-1118</t>
        </is>
      </c>
      <c r="B140">
        <f>TEXT(TODAY()-1+TIME(13,30,0),"yyyy-mm-dd hh:mm")</f>
        <v/>
      </c>
      <c r="C140" t="inlineStr">
        <is>
          <t>GU-BENCH-ADJ</t>
        </is>
      </c>
      <c r="D140" t="inlineStr">
        <is>
          <t>Adjustable Bench</t>
        </is>
      </c>
      <c r="E140" t="n">
        <v>1</v>
      </c>
      <c r="F140" t="n">
        <v>229</v>
      </c>
    </row>
    <row r="141">
      <c r="A141" t="inlineStr">
        <is>
          <t>GU-1119</t>
        </is>
      </c>
      <c r="B141">
        <f>TEXT(TODAY()-1+TIME(16,33,0),"yyyy-mm-dd hh:mm")</f>
        <v/>
      </c>
      <c r="C141" t="inlineStr">
        <is>
          <t>GU-BTL-1L</t>
        </is>
      </c>
      <c r="D141" t="inlineStr">
        <is>
          <t>Insulated Bottle 1 L</t>
        </is>
      </c>
      <c r="E141" t="n">
        <v>2</v>
      </c>
      <c r="F141" t="n">
        <v>22</v>
      </c>
    </row>
    <row r="142">
      <c r="A142" t="inlineStr">
        <is>
          <t>GU-1120</t>
        </is>
      </c>
      <c r="B142">
        <f>TEXT(TODAY()-1+TIME(18,37,0),"yyyy-mm-dd hh:mm")</f>
        <v/>
      </c>
      <c r="C142" t="inlineStr">
        <is>
          <t>GU-ROLL-45</t>
        </is>
      </c>
      <c r="D142" t="inlineStr">
        <is>
          <t>Foam Roller 45 cm</t>
        </is>
      </c>
      <c r="E142" t="n">
        <v>2</v>
      </c>
      <c r="F142" t="n">
        <v>25</v>
      </c>
    </row>
    <row r="143">
      <c r="A143" t="inlineStr">
        <is>
          <t>GU-1120</t>
        </is>
      </c>
      <c r="B143">
        <f>TEXT(TODAY()-1+TIME(18,37,0),"yyyy-mm-dd hh:mm")</f>
        <v/>
      </c>
      <c r="C143" t="inlineStr">
        <is>
          <t>GU-KB-24</t>
        </is>
      </c>
      <c r="D143" t="inlineStr">
        <is>
          <t>Cast Iron Kettlebell 24 kg</t>
        </is>
      </c>
      <c r="E143" t="n">
        <v>1</v>
      </c>
      <c r="F143" t="n">
        <v>79</v>
      </c>
    </row>
    <row r="144">
      <c r="A144" t="inlineStr">
        <is>
          <t>GU-1120</t>
        </is>
      </c>
      <c r="B144">
        <f>TEXT(TODAY()-1+TIME(18,37,0),"yyyy-mm-dd hh:mm")</f>
        <v/>
      </c>
      <c r="C144" t="inlineStr">
        <is>
          <t>GU-BAND-SET</t>
        </is>
      </c>
      <c r="D144" t="inlineStr">
        <is>
          <t>Resistance Bands Set (5 pcs)</t>
        </is>
      </c>
      <c r="E144" t="n">
        <v>1</v>
      </c>
      <c r="F144" t="n">
        <v>29</v>
      </c>
    </row>
    <row r="145">
      <c r="A145" t="inlineStr">
        <is>
          <t>GU-1121</t>
        </is>
      </c>
      <c r="B145">
        <f>TEXT(TODAY()-1+TIME(19,35,0),"yyyy-mm-dd hh:mm")</f>
        <v/>
      </c>
      <c r="C145" t="inlineStr">
        <is>
          <t>GU-DB-10</t>
        </is>
      </c>
      <c r="D145" t="inlineStr">
        <is>
          <t>Adjustable Dumbbell 10 kg</t>
        </is>
      </c>
      <c r="E145" t="n">
        <v>1</v>
      </c>
      <c r="F145" t="n">
        <v>89</v>
      </c>
    </row>
    <row r="146">
      <c r="A146" t="inlineStr">
        <is>
          <t>GU-1121</t>
        </is>
      </c>
      <c r="B146">
        <f>TEXT(TODAY()-1+TIME(19,35,0),"yyyy-mm-dd hh:mm")</f>
        <v/>
      </c>
      <c r="C146" t="inlineStr">
        <is>
          <t>GU-BENCH-ADJ</t>
        </is>
      </c>
      <c r="D146" t="inlineStr">
        <is>
          <t>Adjustable Bench</t>
        </is>
      </c>
      <c r="E146" t="n">
        <v>1</v>
      </c>
      <c r="F146" t="n">
        <v>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18" customWidth="1" min="3" max="3"/>
    <col width="14" customWidth="1" min="4" max="4"/>
    <col width="24" customWidth="1" min="5" max="5"/>
    <col width="18" customWidth="1" min="6" max="6"/>
    <col width="19" customWidth="1" min="7" max="7"/>
    <col width="27" customWidth="1" min="8" max="8"/>
    <col width="12" customWidth="1" min="9" max="9"/>
    <col width="60" customWidth="1" min="10" max="10"/>
    <col width="10" customWidth="1" min="11" max="11"/>
    <col width="10" customWidth="1" min="12" max="12"/>
    <col width="57" customWidth="1" min="13" max="13"/>
    <col width="55" customWidth="1" min="14" max="14"/>
    <col width="11" customWidth="1" min="15" max="15"/>
  </cols>
  <sheetData>
    <row r="1">
      <c r="A1" s="1" t="inlineStr">
        <is>
          <t>lead_id</t>
        </is>
      </c>
      <c r="B1" s="1" t="inlineStr">
        <is>
          <t>created_at</t>
        </is>
      </c>
      <c r="C1" s="1" t="inlineStr">
        <is>
          <t>company</t>
        </is>
      </c>
      <c r="D1" s="1" t="inlineStr">
        <is>
          <t>contact_name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size</t>
        </is>
      </c>
      <c r="I1" s="1" t="inlineStr">
        <is>
          <t>budget_usd</t>
        </is>
      </c>
      <c r="J1" s="1" t="inlineStr">
        <is>
          <t>message</t>
        </is>
      </c>
      <c r="K1" s="1" t="inlineStr">
        <is>
          <t>score</t>
        </is>
      </c>
      <c r="L1" s="1" t="inlineStr">
        <is>
          <t>tier</t>
        </is>
      </c>
      <c r="M1" s="1" t="inlineStr">
        <is>
          <t>reason</t>
        </is>
      </c>
      <c r="N1" s="1" t="inlineStr">
        <is>
          <t>next_step</t>
        </is>
      </c>
      <c r="O1" s="1" t="inlineStr">
        <is>
          <t>status</t>
        </is>
      </c>
    </row>
    <row r="2">
      <c r="A2" t="inlineStr">
        <is>
          <t>L-001</t>
        </is>
      </c>
      <c r="B2">
        <f>TEXT(TODAY()-3+TIME(11,20,0),"yyyy-mm-dd hh:mm")</f>
        <v/>
      </c>
      <c r="C2" t="inlineStr">
        <is>
          <t>IronHouse Gym</t>
        </is>
      </c>
      <c r="D2" t="inlineStr">
        <is>
          <t>Mark Evans</t>
        </is>
      </c>
      <c r="E2" t="inlineStr">
        <is>
          <t>mark@ironhouse.example</t>
        </is>
      </c>
      <c r="F2" t="inlineStr">
        <is>
          <t>+44 20 7946 0101</t>
        </is>
      </c>
      <c r="G2" t="inlineStr">
        <is>
          <t>ironhouse.example</t>
        </is>
      </c>
      <c r="H2" t="inlineStr">
        <is>
          <t>3 locations, 1200 members</t>
        </is>
      </c>
      <c r="I2" t="inlineStr">
        <is>
          <t>15000</t>
        </is>
      </c>
      <c r="J2" t="inlineStr">
        <is>
          <t>Opening a 4th location in November, need full strength zone: benches, barbells, plates, dumbbells.</t>
        </is>
      </c>
      <c r="K2" t="n">
        <v>92</v>
      </c>
      <c r="L2" t="inlineStr">
        <is>
          <t>hot</t>
        </is>
      </c>
      <c r="M2" t="inlineStr">
        <is>
          <t>Multi-location gym, clear project, big budget, deadline</t>
        </is>
      </c>
      <c r="N2" t="inlineStr">
        <is>
          <t>Call today, send wholesale price list + fit-out offer</t>
        </is>
      </c>
      <c r="O2" t="inlineStr">
        <is>
          <t>contacted</t>
        </is>
      </c>
    </row>
    <row r="3">
      <c r="A3" t="inlineStr">
        <is>
          <t>L-002</t>
        </is>
      </c>
      <c r="B3">
        <f>TEXT(TODAY()-2+TIME(15,5,0),"yyyy-mm-dd hh:mm")</f>
        <v/>
      </c>
      <c r="C3" t="inlineStr">
        <is>
          <t>Flow Yoga Studio</t>
        </is>
      </c>
      <c r="D3" t="inlineStr">
        <is>
          <t>Anna Keller</t>
        </is>
      </c>
      <c r="E3" t="inlineStr">
        <is>
          <t>anna@flowyoga.example</t>
        </is>
      </c>
      <c r="F3" t="inlineStr"/>
      <c r="G3" t="inlineStr">
        <is>
          <t>flowyoga.example</t>
        </is>
      </c>
      <c r="H3" t="inlineStr">
        <is>
          <t>1 studio, 150 members</t>
        </is>
      </c>
      <c r="I3" t="inlineStr">
        <is>
          <t>1200</t>
        </is>
      </c>
      <c r="J3" t="inlineStr">
        <is>
          <t>Need 30 yoga mats and foam rollers.</t>
        </is>
      </c>
      <c r="K3" t="n">
        <v>61</v>
      </c>
      <c r="L3" t="inlineStr">
        <is>
          <t>warm</t>
        </is>
      </c>
      <c r="M3" t="inlineStr">
        <is>
          <t>Small but concrete order</t>
        </is>
      </c>
      <c r="N3" t="inlineStr">
        <is>
          <t>Send offer on mats with 10% discount</t>
        </is>
      </c>
      <c r="O3" t="inlineStr">
        <is>
          <t>new</t>
        </is>
      </c>
    </row>
    <row r="4">
      <c r="A4" t="inlineStr">
        <is>
          <t>L-003</t>
        </is>
      </c>
      <c r="B4">
        <f>TEXT(TODAY()-1+TIME(18,40,0),"yyyy-mm-dd hh:mm")</f>
        <v/>
      </c>
      <c r="C4" t="inlineStr"/>
      <c r="D4" t="inlineStr">
        <is>
          <t>Tom</t>
        </is>
      </c>
      <c r="E4" t="inlineStr">
        <is>
          <t>tom1987@example.com</t>
        </is>
      </c>
      <c r="F4" t="inlineStr"/>
      <c r="G4" t="inlineStr"/>
      <c r="H4" t="inlineStr"/>
      <c r="I4" t="inlineStr"/>
      <c r="J4" t="inlineStr">
        <is>
          <t>how much is a dumbbell</t>
        </is>
      </c>
      <c r="K4" t="n">
        <v>12</v>
      </c>
      <c r="L4" t="inlineStr">
        <is>
          <t>cold</t>
        </is>
      </c>
      <c r="M4" t="inlineStr">
        <is>
          <t>Retail question, not a B2B lead</t>
        </is>
      </c>
      <c r="N4" t="inlineStr">
        <is>
          <t>Reply with link to store</t>
        </is>
      </c>
      <c r="O4" t="inlineStr">
        <is>
          <t>new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60" customWidth="1" min="3" max="3"/>
  </cols>
  <sheetData>
    <row r="1">
      <c r="A1" s="1" t="inlineStr">
        <is>
          <t>topic</t>
        </is>
      </c>
      <c r="B1" s="1" t="inlineStr">
        <is>
          <t>question</t>
        </is>
      </c>
      <c r="C1" s="1" t="inlineStr">
        <is>
          <t>answer</t>
        </is>
      </c>
    </row>
    <row r="2">
      <c r="A2" t="inlineStr">
        <is>
          <t>shipping</t>
        </is>
      </c>
      <c r="B2" t="inlineStr">
        <is>
          <t>How long does shipping take?</t>
        </is>
      </c>
      <c r="C2" t="inlineStr">
        <is>
          <t>Orders ship within 1 business day. Delivery takes 2-5 business days in the EU/US. Heavy items (benches, barbells, plates) ship by freight: 4-8 business days.</t>
        </is>
      </c>
    </row>
    <row r="3">
      <c r="A3" t="inlineStr">
        <is>
          <t>shipping</t>
        </is>
      </c>
      <c r="B3" t="inlineStr">
        <is>
          <t>How much is shipping?</t>
        </is>
      </c>
      <c r="C3" t="inlineStr">
        <is>
          <t>Free shipping on orders over $99. Otherwise $7.90. Freight items: flat $29.</t>
        </is>
      </c>
    </row>
    <row r="4">
      <c r="A4" t="inlineStr">
        <is>
          <t>shipping</t>
        </is>
      </c>
      <c r="B4" t="inlineStr">
        <is>
          <t>Do you ship internationally?</t>
        </is>
      </c>
      <c r="C4" t="inlineStr">
        <is>
          <t>We ship to the EU, UK, US and Canada. Customs duties outside the EU are paid by the customer.</t>
        </is>
      </c>
    </row>
    <row r="5">
      <c r="A5" t="inlineStr">
        <is>
          <t>returns</t>
        </is>
      </c>
      <c r="B5" t="inlineStr">
        <is>
          <t>What is your return policy?</t>
        </is>
      </c>
      <c r="C5" t="inlineStr">
        <is>
          <t>30 days from delivery. Items must be unused and in original packaging. Return shipping is free for defective items, $6.90 otherwise. Refund within 5 business days after we receive the item.</t>
        </is>
      </c>
    </row>
    <row r="6">
      <c r="A6" t="inlineStr">
        <is>
          <t>returns</t>
        </is>
      </c>
      <c r="B6" t="inlineStr">
        <is>
          <t>How do I return an item?</t>
        </is>
      </c>
      <c r="C6" t="inlineStr">
        <is>
          <t>Tell our assistant your order number and reason - it will create a return request and send you a return label within 24 hours.</t>
        </is>
      </c>
    </row>
    <row r="7">
      <c r="A7" t="inlineStr">
        <is>
          <t>returns</t>
        </is>
      </c>
      <c r="B7" t="inlineStr">
        <is>
          <t>Can I exchange a size?</t>
        </is>
      </c>
      <c r="C7" t="inlineStr">
        <is>
          <t>Yes, apparel size exchanges are free within 30 days.</t>
        </is>
      </c>
    </row>
    <row r="8">
      <c r="A8" t="inlineStr">
        <is>
          <t>warranty</t>
        </is>
      </c>
      <c r="B8" t="inlineStr">
        <is>
          <t>Is there a warranty?</t>
        </is>
      </c>
      <c r="C8" t="inlineStr">
        <is>
          <t>2-year warranty on all strength equipment and massage guns. 1 year on accessories.</t>
        </is>
      </c>
    </row>
    <row r="9">
      <c r="A9" t="inlineStr">
        <is>
          <t>payment</t>
        </is>
      </c>
      <c r="B9" t="inlineStr">
        <is>
          <t>Which payment methods do you accept?</t>
        </is>
      </c>
      <c r="C9" t="inlineStr">
        <is>
          <t>Visa, Mastercard, PayPal, Apple Pay, Google Pay. B2B customers can pay by invoice (net 14).</t>
        </is>
      </c>
    </row>
    <row r="10">
      <c r="A10" t="inlineStr">
        <is>
          <t>b2b</t>
        </is>
      </c>
      <c r="B10" t="inlineStr">
        <is>
          <t>Do you offer wholesale prices for gyms?</t>
        </is>
      </c>
      <c r="C10" t="inlineStr">
        <is>
          <t>Yes. Gyms, studios and clubs get 10-25% off depending on volume. Fill the wholesale form on our website and a manager will contact you within 2 hours.</t>
        </is>
      </c>
    </row>
    <row r="11">
      <c r="A11" t="inlineStr">
        <is>
          <t>products</t>
        </is>
      </c>
      <c r="B11" t="inlineStr">
        <is>
          <t>Are the dumbbells suitable for home use?</t>
        </is>
      </c>
      <c r="C11" t="inlineStr">
        <is>
          <t>Yes, adjustable dumbbells are designed for home gyms: one pair replaces 10+ fixed dumbbells.</t>
        </is>
      </c>
    </row>
    <row r="12">
      <c r="A12" t="inlineStr">
        <is>
          <t>products</t>
        </is>
      </c>
      <c r="B12" t="inlineStr">
        <is>
          <t>What yoga mat do you recommend for beginners?</t>
        </is>
      </c>
      <c r="C12" t="inlineStr">
        <is>
          <t>Pro Yoga Mat 6 mm - extra cushioning for knees. For hot yoga choose the Eco Cork mat (non-slip when wet).</t>
        </is>
      </c>
    </row>
    <row r="13">
      <c r="A13" t="inlineStr">
        <is>
          <t>orders</t>
        </is>
      </c>
      <c r="B13" t="inlineStr">
        <is>
          <t>Can I change or cancel my order?</t>
        </is>
      </c>
      <c r="C13" t="inlineStr">
        <is>
          <t>Yes, while the order status is 'processing'. After it ships, please use a return instead.</t>
        </is>
      </c>
    </row>
    <row r="14">
      <c r="A14" t="inlineStr">
        <is>
          <t>contacts</t>
        </is>
      </c>
      <c r="B14" t="inlineStr">
        <is>
          <t>How can I reach a human?</t>
        </is>
      </c>
      <c r="C14" t="inlineStr">
        <is>
          <t>Ask the assistant to connect you with a manager. Working hours: Mon-Fri 9:00-19:00 CET.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return_id</t>
        </is>
      </c>
      <c r="B1" s="1" t="inlineStr">
        <is>
          <t>created_at</t>
        </is>
      </c>
      <c r="C1" s="1" t="inlineStr">
        <is>
          <t>order_id</t>
        </is>
      </c>
      <c r="D1" s="1" t="inlineStr">
        <is>
          <t>chat_id</t>
        </is>
      </c>
      <c r="E1" s="1" t="inlineStr">
        <is>
          <t>customer</t>
        </is>
      </c>
      <c r="F1" s="1" t="inlineStr">
        <is>
          <t>reason</t>
        </is>
      </c>
      <c r="G1" s="1" t="inlineStr">
        <is>
          <t>items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51" customWidth="1" min="5" max="5"/>
    <col width="12" customWidth="1" min="6" max="6"/>
  </cols>
  <sheetData>
    <row r="1">
      <c r="A1" s="1" t="inlineStr">
        <is>
          <t>code</t>
        </is>
      </c>
      <c r="B1" s="1" t="inlineStr">
        <is>
          <t>discount_pct</t>
        </is>
      </c>
      <c r="C1" s="1" t="inlineStr">
        <is>
          <t>valid_until</t>
        </is>
      </c>
      <c r="D1" s="1" t="inlineStr">
        <is>
          <t>note</t>
        </is>
      </c>
      <c r="E1" s="1" t="inlineStr">
        <is>
          <t>created_at</t>
        </is>
      </c>
      <c r="F1" s="1" t="inlineStr">
        <is>
          <t>created_by</t>
        </is>
      </c>
    </row>
    <row r="2">
      <c r="A2" t="inlineStr">
        <is>
          <t>WELCOME10</t>
        </is>
      </c>
      <c r="B2" t="n">
        <v>10</v>
      </c>
      <c r="C2" t="inlineStr">
        <is>
          <t>2026-12-31</t>
        </is>
      </c>
      <c r="D2" t="inlineStr">
        <is>
          <t>Newsletter signup</t>
        </is>
      </c>
      <c r="E2">
        <f>TEXT(TODAY()-40+TIME(12,0,0),"yyyy-mm-dd hh:mm")</f>
        <v/>
      </c>
      <c r="F2" t="inlineStr">
        <is>
          <t>owner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ts</t>
        </is>
      </c>
      <c r="B1" s="1" t="inlineStr">
        <is>
          <t>chat_id</t>
        </is>
      </c>
      <c r="C1" s="1" t="inlineStr">
        <is>
          <t>user</t>
        </is>
      </c>
      <c r="D1" s="1" t="inlineStr">
        <is>
          <t>question</t>
        </is>
      </c>
      <c r="E1" s="1" t="inlineStr">
        <is>
          <t>answer</t>
        </is>
      </c>
      <c r="F1" s="1" t="inlineStr">
        <is>
          <t>escalated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</cols>
  <sheetData>
    <row r="1">
      <c r="A1" s="1" t="inlineStr">
        <is>
          <t>ts</t>
        </is>
      </c>
      <c r="B1" s="1" t="inlineStr">
        <is>
          <t>workflow</t>
        </is>
      </c>
      <c r="C1" s="1" t="inlineStr">
        <is>
          <t>node</t>
        </is>
      </c>
      <c r="D1" s="1" t="inlineStr">
        <is>
          <t>error</t>
        </is>
      </c>
      <c r="E1" s="1" t="inlineStr">
        <is>
          <t>execution_url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2026-09-25T10:39:10Z</dcterms:created>
  <dcterms:modified xmlns:dcterms="http://purl.org/dc/terms/" xmlns:xsi="http://www.w3.org/2001/XMLSchema-instance" xsi:type="dcterms:W3CDTF">2026-09-25T10:39:10Z</dcterms:modified>
</cp:coreProperties>
</file>